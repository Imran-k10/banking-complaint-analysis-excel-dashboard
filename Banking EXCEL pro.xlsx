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kill\Downloads\"/>
    </mc:Choice>
  </mc:AlternateContent>
  <xr:revisionPtr revIDLastSave="0" documentId="13_ncr:1_{E6205884-8190-4C7F-8009-D4D6B70DB995}" xr6:coauthVersionLast="47" xr6:coauthVersionMax="47" xr10:uidLastSave="{00000000-0000-0000-0000-000000000000}"/>
  <bookViews>
    <workbookView xWindow="-108" yWindow="-108" windowWidth="23256" windowHeight="12456" activeTab="2" xr2:uid="{00000000-000D-0000-FFFF-FFFF00000000}"/>
  </bookViews>
  <sheets>
    <sheet name="Sheet1" sheetId="3" r:id="rId1"/>
    <sheet name="Sheet2" sheetId="7" r:id="rId2"/>
    <sheet name="DASHBOARD" sheetId="2" r:id="rId3"/>
    <sheet name="Complaints_Data" sheetId="1" r:id="rId4"/>
  </sheets>
  <definedNames>
    <definedName name="_xlcn.WorksheetConnection_banking_customer_satisfaction.xlsxTable11" hidden="1">Table1[]</definedName>
    <definedName name="_xlcn.WorksheetConnection_Complaints_DataCC1" hidden="1">Complaints_Data!$C:$C</definedName>
    <definedName name="_xlcn.WorksheetConnection_Complaints_DataJJ1" hidden="1">Complaints_Data!$J:$J</definedName>
    <definedName name="Slicer_Channel">#N/A</definedName>
    <definedName name="Slicer_Complaint_Month">#N/A</definedName>
    <definedName name="Slicer_Complaint_Type">#N/A</definedName>
    <definedName name="Slicer_Resolution_Spee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omplaints_Data!$J:$J"/>
          <x15:modelTable id="Range 1" name="Range 1" connection="WorksheetConnection_Complaints_Data!$C:$C"/>
          <x15:modelTable id="Table1" name="Table1" connection="WorksheetConnection_banking_customer_satisfac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01" i="1" l="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W32" i="2"/>
  <c r="B21" i="3"/>
  <c r="W35" i="2"/>
  <c r="Y32" i="2"/>
  <c r="Y3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C227D-A30D-4C41-927D-5260DEAE50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6775F6-ECA7-496F-BF83-92809C1C8C9E}" name="WorksheetConnection_banking_customer_satisfaction.xlsx!Table1" type="102" refreshedVersion="8" minRefreshableVersion="5">
    <extLst>
      <ext xmlns:x15="http://schemas.microsoft.com/office/spreadsheetml/2010/11/main" uri="{DE250136-89BD-433C-8126-D09CA5730AF9}">
        <x15:connection id="Table1">
          <x15:rangePr sourceName="_xlcn.WorksheetConnection_banking_customer_satisfaction.xlsxTable11"/>
        </x15:connection>
      </ext>
    </extLst>
  </connection>
  <connection id="3" xr16:uid="{60A64091-7E51-4047-AB15-A4AD6A37585B}" name="WorksheetConnection_Complaints_Data!$C:$C" type="102" refreshedVersion="8" minRefreshableVersion="5">
    <extLst>
      <ext xmlns:x15="http://schemas.microsoft.com/office/spreadsheetml/2010/11/main" uri="{DE250136-89BD-433C-8126-D09CA5730AF9}">
        <x15:connection id="Range 1" autoDelete="1">
          <x15:rangePr sourceName="_xlcn.WorksheetConnection_Complaints_DataCC1"/>
        </x15:connection>
      </ext>
    </extLst>
  </connection>
  <connection id="4" xr16:uid="{1807337F-5428-4153-B96C-D838407A7DB7}" name="WorksheetConnection_Complaints_Data!$J:$J" type="102" refreshedVersion="8" minRefreshableVersion="5">
    <extLst>
      <ext xmlns:x15="http://schemas.microsoft.com/office/spreadsheetml/2010/11/main" uri="{DE250136-89BD-433C-8126-D09CA5730AF9}">
        <x15:connection id="Range" autoDelete="1">
          <x15:rangePr sourceName="_xlcn.WorksheetConnection_Complaints_DataJJ1"/>
        </x15:connection>
      </ext>
    </extLst>
  </connection>
</connections>
</file>

<file path=xl/sharedStrings.xml><?xml version="1.0" encoding="utf-8"?>
<sst xmlns="http://schemas.openxmlformats.org/spreadsheetml/2006/main" count="8499" uniqueCount="2825">
  <si>
    <t>Complaint_ID</t>
  </si>
  <si>
    <t>Customer_ID</t>
  </si>
  <si>
    <t>Complaint_Type</t>
  </si>
  <si>
    <t>Channel</t>
  </si>
  <si>
    <t>Complaint_Date</t>
  </si>
  <si>
    <t>Resolution_Time_Hours</t>
  </si>
  <si>
    <t>Resolution_Status</t>
  </si>
  <si>
    <t>Resolution_Date</t>
  </si>
  <si>
    <t>Customer_Rating</t>
  </si>
  <si>
    <t>DBK-CMP-100000</t>
  </si>
  <si>
    <t>DBK-CUS-500000</t>
  </si>
  <si>
    <t>ATM Issue</t>
  </si>
  <si>
    <t>Email</t>
  </si>
  <si>
    <t>2024-10-20</t>
  </si>
  <si>
    <t>In Progress</t>
  </si>
  <si>
    <t>DBK-CMP-100001</t>
  </si>
  <si>
    <t>DBK-CUS-500001</t>
  </si>
  <si>
    <t>Loan Inquiry</t>
  </si>
  <si>
    <t>Branch</t>
  </si>
  <si>
    <t>2024-10-08</t>
  </si>
  <si>
    <t>Resolved</t>
  </si>
  <si>
    <t>DBK-CMP-100002</t>
  </si>
  <si>
    <t>DBK-CUS-500002</t>
  </si>
  <si>
    <t>2024-09-30</t>
  </si>
  <si>
    <t>2024-10-01</t>
  </si>
  <si>
    <t>DBK-CMP-100003</t>
  </si>
  <si>
    <t>DBK-CUS-500003</t>
  </si>
  <si>
    <t>Call Center</t>
  </si>
  <si>
    <t>2024-05-25</t>
  </si>
  <si>
    <t>DBK-CMP-100004</t>
  </si>
  <si>
    <t>DBK-CUS-500004</t>
  </si>
  <si>
    <t>2024-03-08</t>
  </si>
  <si>
    <t>DBK-CMP-100005</t>
  </si>
  <si>
    <t>DBK-CUS-500005</t>
  </si>
  <si>
    <t>Fraud Investigation</t>
  </si>
  <si>
    <t>2024-12-11</t>
  </si>
  <si>
    <t>DBK-CMP-100006</t>
  </si>
  <si>
    <t>DBK-CUS-500006</t>
  </si>
  <si>
    <t>Website</t>
  </si>
  <si>
    <t>2024-06-27</t>
  </si>
  <si>
    <t>Pending</t>
  </si>
  <si>
    <t>DBK-CMP-100007</t>
  </si>
  <si>
    <t>DBK-CUS-500007</t>
  </si>
  <si>
    <t>Service Delay</t>
  </si>
  <si>
    <t>2024-11-26</t>
  </si>
  <si>
    <t>2024-11-27</t>
  </si>
  <si>
    <t>DBK-CMP-100008</t>
  </si>
  <si>
    <t>DBK-CUS-500008</t>
  </si>
  <si>
    <t>Online Banking Error</t>
  </si>
  <si>
    <t>2024-07-16</t>
  </si>
  <si>
    <t>2024-07-17</t>
  </si>
  <si>
    <t>DBK-CMP-100009</t>
  </si>
  <si>
    <t>DBK-CUS-500009</t>
  </si>
  <si>
    <t>Transaction Issue</t>
  </si>
  <si>
    <t>2024-03-17</t>
  </si>
  <si>
    <t>DBK-CMP-100010</t>
  </si>
  <si>
    <t>DBK-CUS-500010</t>
  </si>
  <si>
    <t>2024-01-03</t>
  </si>
  <si>
    <t>DBK-CMP-100011</t>
  </si>
  <si>
    <t>DBK-CUS-500011</t>
  </si>
  <si>
    <t>2024-09-18</t>
  </si>
  <si>
    <t>DBK-CMP-100012</t>
  </si>
  <si>
    <t>DBK-CUS-500012</t>
  </si>
  <si>
    <t>2024-08-20</t>
  </si>
  <si>
    <t>2024-08-22</t>
  </si>
  <si>
    <t>DBK-CMP-100013</t>
  </si>
  <si>
    <t>DBK-CUS-500013</t>
  </si>
  <si>
    <t>2024-12-22</t>
  </si>
  <si>
    <t>DBK-CMP-100014</t>
  </si>
  <si>
    <t>DBK-CUS-500014</t>
  </si>
  <si>
    <t>Card Problem</t>
  </si>
  <si>
    <t>2024-07-26</t>
  </si>
  <si>
    <t>DBK-CMP-100015</t>
  </si>
  <si>
    <t>DBK-CUS-500015</t>
  </si>
  <si>
    <t>2024-08-28</t>
  </si>
  <si>
    <t>DBK-CMP-100016</t>
  </si>
  <si>
    <t>DBK-CUS-500016</t>
  </si>
  <si>
    <t>DBK-CMP-100017</t>
  </si>
  <si>
    <t>DBK-CUS-500017</t>
  </si>
  <si>
    <t>2024-06-18</t>
  </si>
  <si>
    <t>DBK-CMP-100018</t>
  </si>
  <si>
    <t>DBK-CUS-500018</t>
  </si>
  <si>
    <t>2024-09-09</t>
  </si>
  <si>
    <t>DBK-CMP-100019</t>
  </si>
  <si>
    <t>DBK-CUS-500019</t>
  </si>
  <si>
    <t>2024-03-01</t>
  </si>
  <si>
    <t>2024-03-03</t>
  </si>
  <si>
    <t>DBK-CMP-100020</t>
  </si>
  <si>
    <t>DBK-CUS-500020</t>
  </si>
  <si>
    <t>2024-06-17</t>
  </si>
  <si>
    <t>DBK-CMP-100021</t>
  </si>
  <si>
    <t>DBK-CUS-500021</t>
  </si>
  <si>
    <t>2024-02-29</t>
  </si>
  <si>
    <t>DBK-CMP-100022</t>
  </si>
  <si>
    <t>DBK-CUS-500022</t>
  </si>
  <si>
    <t>Mobile App</t>
  </si>
  <si>
    <t>2024-02-12</t>
  </si>
  <si>
    <t>2024-02-13</t>
  </si>
  <si>
    <t>DBK-CMP-100023</t>
  </si>
  <si>
    <t>DBK-CUS-500023</t>
  </si>
  <si>
    <t>2024-01-18</t>
  </si>
  <si>
    <t>DBK-CMP-100024</t>
  </si>
  <si>
    <t>DBK-CUS-500024</t>
  </si>
  <si>
    <t>2024-04-20</t>
  </si>
  <si>
    <t>DBK-CMP-100025</t>
  </si>
  <si>
    <t>DBK-CUS-500025</t>
  </si>
  <si>
    <t>2024-09-16</t>
  </si>
  <si>
    <t>2024-09-19</t>
  </si>
  <si>
    <t>DBK-CMP-100026</t>
  </si>
  <si>
    <t>DBK-CUS-500026</t>
  </si>
  <si>
    <t>Account Access</t>
  </si>
  <si>
    <t>2024-01-21</t>
  </si>
  <si>
    <t>DBK-CMP-100027</t>
  </si>
  <si>
    <t>DBK-CUS-500027</t>
  </si>
  <si>
    <t>2024-01-31</t>
  </si>
  <si>
    <t>DBK-CMP-100028</t>
  </si>
  <si>
    <t>DBK-CUS-500028</t>
  </si>
  <si>
    <t>2024-01-07</t>
  </si>
  <si>
    <t>DBK-CMP-100029</t>
  </si>
  <si>
    <t>DBK-CUS-500029</t>
  </si>
  <si>
    <t>2024-07-31</t>
  </si>
  <si>
    <t>2024-08-03</t>
  </si>
  <si>
    <t>DBK-CMP-100030</t>
  </si>
  <si>
    <t>DBK-CUS-500030</t>
  </si>
  <si>
    <t>2024-03-05</t>
  </si>
  <si>
    <t>DBK-CMP-100031</t>
  </si>
  <si>
    <t>DBK-CUS-500031</t>
  </si>
  <si>
    <t>2024-08-13</t>
  </si>
  <si>
    <t>DBK-CMP-100032</t>
  </si>
  <si>
    <t>DBK-CUS-500032</t>
  </si>
  <si>
    <t>2024-02-02</t>
  </si>
  <si>
    <t>DBK-CMP-100033</t>
  </si>
  <si>
    <t>DBK-CUS-500033</t>
  </si>
  <si>
    <t>2024-06-19</t>
  </si>
  <si>
    <t>DBK-CMP-100034</t>
  </si>
  <si>
    <t>DBK-CUS-500034</t>
  </si>
  <si>
    <t>2024-03-28</t>
  </si>
  <si>
    <t>2024-03-30</t>
  </si>
  <si>
    <t>DBK-CMP-100035</t>
  </si>
  <si>
    <t>DBK-CUS-500035</t>
  </si>
  <si>
    <t>2024-11-17</t>
  </si>
  <si>
    <t>DBK-CMP-100036</t>
  </si>
  <si>
    <t>DBK-CUS-500036</t>
  </si>
  <si>
    <t>2024-01-13</t>
  </si>
  <si>
    <t>DBK-CMP-100037</t>
  </si>
  <si>
    <t>DBK-CUS-500037</t>
  </si>
  <si>
    <t>2024-08-08</t>
  </si>
  <si>
    <t>2024-08-09</t>
  </si>
  <si>
    <t>DBK-CMP-100038</t>
  </si>
  <si>
    <t>DBK-CUS-500038</t>
  </si>
  <si>
    <t>2024-02-16</t>
  </si>
  <si>
    <t>DBK-CMP-100039</t>
  </si>
  <si>
    <t>DBK-CUS-500039</t>
  </si>
  <si>
    <t>2024-06-21</t>
  </si>
  <si>
    <t>DBK-CMP-100040</t>
  </si>
  <si>
    <t>DBK-CUS-500040</t>
  </si>
  <si>
    <t>2024-10-11</t>
  </si>
  <si>
    <t>DBK-CMP-100041</t>
  </si>
  <si>
    <t>DBK-CUS-500041</t>
  </si>
  <si>
    <t>2024-05-18</t>
  </si>
  <si>
    <t>2024-05-19</t>
  </si>
  <si>
    <t>DBK-CMP-100042</t>
  </si>
  <si>
    <t>DBK-CUS-500042</t>
  </si>
  <si>
    <t>DBK-CMP-100043</t>
  </si>
  <si>
    <t>DBK-CUS-500043</t>
  </si>
  <si>
    <t>2024-05-26</t>
  </si>
  <si>
    <t>DBK-CMP-100044</t>
  </si>
  <si>
    <t>DBK-CUS-500044</t>
  </si>
  <si>
    <t>DBK-CMP-100045</t>
  </si>
  <si>
    <t>DBK-CUS-500045</t>
  </si>
  <si>
    <t>2024-08-26</t>
  </si>
  <si>
    <t>DBK-CMP-100046</t>
  </si>
  <si>
    <t>DBK-CUS-500046</t>
  </si>
  <si>
    <t>2024-12-30</t>
  </si>
  <si>
    <t>DBK-CMP-100047</t>
  </si>
  <si>
    <t>DBK-CUS-500047</t>
  </si>
  <si>
    <t>2024-08-24</t>
  </si>
  <si>
    <t>DBK-CMP-100048</t>
  </si>
  <si>
    <t>DBK-CUS-500048</t>
  </si>
  <si>
    <t>2024-04-03</t>
  </si>
  <si>
    <t>2024-04-05</t>
  </si>
  <si>
    <t>DBK-CMP-100049</t>
  </si>
  <si>
    <t>DBK-CUS-500049</t>
  </si>
  <si>
    <t>2024-02-25</t>
  </si>
  <si>
    <t>DBK-CMP-100050</t>
  </si>
  <si>
    <t>DBK-CUS-500050</t>
  </si>
  <si>
    <t>2024-12-23</t>
  </si>
  <si>
    <t>DBK-CMP-100051</t>
  </si>
  <si>
    <t>DBK-CUS-500051</t>
  </si>
  <si>
    <t>2024-02-01</t>
  </si>
  <si>
    <t>DBK-CMP-100052</t>
  </si>
  <si>
    <t>DBK-CUS-500052</t>
  </si>
  <si>
    <t>2024-11-04</t>
  </si>
  <si>
    <t>DBK-CMP-100053</t>
  </si>
  <si>
    <t>DBK-CUS-500053</t>
  </si>
  <si>
    <t>2024-08-27</t>
  </si>
  <si>
    <t>DBK-CMP-100054</t>
  </si>
  <si>
    <t>DBK-CUS-500054</t>
  </si>
  <si>
    <t>2024-07-28</t>
  </si>
  <si>
    <t>DBK-CMP-100055</t>
  </si>
  <si>
    <t>DBK-CUS-500055</t>
  </si>
  <si>
    <t>2024-08-11</t>
  </si>
  <si>
    <t>DBK-CMP-100056</t>
  </si>
  <si>
    <t>DBK-CUS-500056</t>
  </si>
  <si>
    <t>2024-08-31</t>
  </si>
  <si>
    <t>2024-09-03</t>
  </si>
  <si>
    <t>DBK-CMP-100057</t>
  </si>
  <si>
    <t>DBK-CUS-500057</t>
  </si>
  <si>
    <t>2024-01-10</t>
  </si>
  <si>
    <t>DBK-CMP-100058</t>
  </si>
  <si>
    <t>DBK-CUS-500058</t>
  </si>
  <si>
    <t>2024-12-15</t>
  </si>
  <si>
    <t>DBK-CMP-100059</t>
  </si>
  <si>
    <t>DBK-CUS-500059</t>
  </si>
  <si>
    <t>2024-05-22</t>
  </si>
  <si>
    <t>DBK-CMP-100060</t>
  </si>
  <si>
    <t>DBK-CUS-500060</t>
  </si>
  <si>
    <t>2024-12-31</t>
  </si>
  <si>
    <t>DBK-CMP-100061</t>
  </si>
  <si>
    <t>DBK-CUS-500061</t>
  </si>
  <si>
    <t>2024-07-14</t>
  </si>
  <si>
    <t>DBK-CMP-100062</t>
  </si>
  <si>
    <t>DBK-CUS-500062</t>
  </si>
  <si>
    <t>2024-12-25</t>
  </si>
  <si>
    <t>2024-12-28</t>
  </si>
  <si>
    <t>DBK-CMP-100063</t>
  </si>
  <si>
    <t>DBK-CUS-500063</t>
  </si>
  <si>
    <t>2024-04-16</t>
  </si>
  <si>
    <t>2024-04-17</t>
  </si>
  <si>
    <t>DBK-CMP-100064</t>
  </si>
  <si>
    <t>DBK-CUS-500064</t>
  </si>
  <si>
    <t>DBK-CMP-100065</t>
  </si>
  <si>
    <t>DBK-CUS-500065</t>
  </si>
  <si>
    <t>2024-04-18</t>
  </si>
  <si>
    <t>DBK-CMP-100066</t>
  </si>
  <si>
    <t>DBK-CUS-500066</t>
  </si>
  <si>
    <t>DBK-CMP-100067</t>
  </si>
  <si>
    <t>DBK-CUS-500067</t>
  </si>
  <si>
    <t>DBK-CMP-100068</t>
  </si>
  <si>
    <t>DBK-CUS-500068</t>
  </si>
  <si>
    <t>2024-06-09</t>
  </si>
  <si>
    <t>2024-06-10</t>
  </si>
  <si>
    <t>DBK-CMP-100069</t>
  </si>
  <si>
    <t>DBK-CUS-500069</t>
  </si>
  <si>
    <t>2024-05-24</t>
  </si>
  <si>
    <t>DBK-CMP-100070</t>
  </si>
  <si>
    <t>DBK-CUS-500070</t>
  </si>
  <si>
    <t>2024-01-24</t>
  </si>
  <si>
    <t>DBK-CMP-100071</t>
  </si>
  <si>
    <t>DBK-CUS-500071</t>
  </si>
  <si>
    <t>2024-02-15</t>
  </si>
  <si>
    <t>DBK-CMP-100072</t>
  </si>
  <si>
    <t>DBK-CUS-500072</t>
  </si>
  <si>
    <t>DBK-CMP-100073</t>
  </si>
  <si>
    <t>DBK-CUS-500073</t>
  </si>
  <si>
    <t>2024-02-06</t>
  </si>
  <si>
    <t>2024-02-07</t>
  </si>
  <si>
    <t>DBK-CMP-100074</t>
  </si>
  <si>
    <t>DBK-CUS-500074</t>
  </si>
  <si>
    <t>DBK-CMP-100075</t>
  </si>
  <si>
    <t>DBK-CUS-500075</t>
  </si>
  <si>
    <t>2024-03-22</t>
  </si>
  <si>
    <t>DBK-CMP-100076</t>
  </si>
  <si>
    <t>DBK-CUS-500076</t>
  </si>
  <si>
    <t>2024-05-14</t>
  </si>
  <si>
    <t>DBK-CMP-100077</t>
  </si>
  <si>
    <t>DBK-CUS-500077</t>
  </si>
  <si>
    <t>2024-01-17</t>
  </si>
  <si>
    <t>DBK-CMP-100078</t>
  </si>
  <si>
    <t>DBK-CUS-500078</t>
  </si>
  <si>
    <t>2024-04-21</t>
  </si>
  <si>
    <t>DBK-CMP-100079</t>
  </si>
  <si>
    <t>DBK-CUS-500079</t>
  </si>
  <si>
    <t>2024-11-14</t>
  </si>
  <si>
    <t>2024-11-16</t>
  </si>
  <si>
    <t>DBK-CMP-100080</t>
  </si>
  <si>
    <t>DBK-CUS-500080</t>
  </si>
  <si>
    <t>2024-12-06</t>
  </si>
  <si>
    <t>DBK-CMP-100081</t>
  </si>
  <si>
    <t>DBK-CUS-500081</t>
  </si>
  <si>
    <t>2024-10-09</t>
  </si>
  <si>
    <t>DBK-CMP-100082</t>
  </si>
  <si>
    <t>DBK-CUS-500082</t>
  </si>
  <si>
    <t>2024-11-24</t>
  </si>
  <si>
    <t>2024-11-25</t>
  </si>
  <si>
    <t>DBK-CMP-100083</t>
  </si>
  <si>
    <t>DBK-CUS-500083</t>
  </si>
  <si>
    <t>2024-12-13</t>
  </si>
  <si>
    <t>DBK-CMP-100084</t>
  </si>
  <si>
    <t>DBK-CUS-500084</t>
  </si>
  <si>
    <t>DBK-CMP-100085</t>
  </si>
  <si>
    <t>DBK-CUS-500085</t>
  </si>
  <si>
    <t>2024-10-16</t>
  </si>
  <si>
    <t>2024-10-17</t>
  </si>
  <si>
    <t>DBK-CMP-100086</t>
  </si>
  <si>
    <t>DBK-CUS-500086</t>
  </si>
  <si>
    <t>2024-03-23</t>
  </si>
  <si>
    <t>DBK-CMP-100087</t>
  </si>
  <si>
    <t>DBK-CUS-500087</t>
  </si>
  <si>
    <t>2024-03-25</t>
  </si>
  <si>
    <t>DBK-CMP-100088</t>
  </si>
  <si>
    <t>DBK-CUS-500088</t>
  </si>
  <si>
    <t>DBK-CMP-100089</t>
  </si>
  <si>
    <t>DBK-CUS-500089</t>
  </si>
  <si>
    <t>DBK-CMP-100090</t>
  </si>
  <si>
    <t>DBK-CUS-500090</t>
  </si>
  <si>
    <t>DBK-CMP-100091</t>
  </si>
  <si>
    <t>DBK-CUS-500091</t>
  </si>
  <si>
    <t>2024-06-24</t>
  </si>
  <si>
    <t>DBK-CMP-100092</t>
  </si>
  <si>
    <t>DBK-CUS-500092</t>
  </si>
  <si>
    <t>DBK-CMP-100093</t>
  </si>
  <si>
    <t>DBK-CUS-500093</t>
  </si>
  <si>
    <t>2024-05-02</t>
  </si>
  <si>
    <t>DBK-CMP-100094</t>
  </si>
  <si>
    <t>DBK-CUS-500094</t>
  </si>
  <si>
    <t>DBK-CMP-100095</t>
  </si>
  <si>
    <t>DBK-CUS-500095</t>
  </si>
  <si>
    <t>2024-02-10</t>
  </si>
  <si>
    <t>DBK-CMP-100096</t>
  </si>
  <si>
    <t>DBK-CUS-500096</t>
  </si>
  <si>
    <t>2024-06-28</t>
  </si>
  <si>
    <t>DBK-CMP-100097</t>
  </si>
  <si>
    <t>DBK-CUS-500097</t>
  </si>
  <si>
    <t>DBK-CMP-100098</t>
  </si>
  <si>
    <t>DBK-CUS-500098</t>
  </si>
  <si>
    <t>2024-09-28</t>
  </si>
  <si>
    <t>DBK-CMP-100099</t>
  </si>
  <si>
    <t>DBK-CUS-500099</t>
  </si>
  <si>
    <t>2024-11-06</t>
  </si>
  <si>
    <t>2024-11-07</t>
  </si>
  <si>
    <t>DBK-CMP-100100</t>
  </si>
  <si>
    <t>DBK-CUS-500100</t>
  </si>
  <si>
    <t>2024-09-27</t>
  </si>
  <si>
    <t>DBK-CMP-100101</t>
  </si>
  <si>
    <t>DBK-CUS-500101</t>
  </si>
  <si>
    <t>2024-10-04</t>
  </si>
  <si>
    <t>DBK-CMP-100102</t>
  </si>
  <si>
    <t>DBK-CUS-500102</t>
  </si>
  <si>
    <t>2024-04-11</t>
  </si>
  <si>
    <t>DBK-CMP-100103</t>
  </si>
  <si>
    <t>DBK-CUS-500103</t>
  </si>
  <si>
    <t>2024-09-06</t>
  </si>
  <si>
    <t>2024-09-08</t>
  </si>
  <si>
    <t>DBK-CMP-100104</t>
  </si>
  <si>
    <t>DBK-CUS-500104</t>
  </si>
  <si>
    <t>DBK-CMP-100105</t>
  </si>
  <si>
    <t>DBK-CUS-500105</t>
  </si>
  <si>
    <t>DBK-CMP-100106</t>
  </si>
  <si>
    <t>DBK-CUS-500106</t>
  </si>
  <si>
    <t>2024-11-02</t>
  </si>
  <si>
    <t>DBK-CMP-100107</t>
  </si>
  <si>
    <t>DBK-CUS-500107</t>
  </si>
  <si>
    <t>DBK-CMP-100108</t>
  </si>
  <si>
    <t>DBK-CUS-500108</t>
  </si>
  <si>
    <t>2024-05-04</t>
  </si>
  <si>
    <t>DBK-CMP-100109</t>
  </si>
  <si>
    <t>DBK-CUS-500109</t>
  </si>
  <si>
    <t>DBK-CMP-100110</t>
  </si>
  <si>
    <t>DBK-CUS-500110</t>
  </si>
  <si>
    <t>2024-10-24</t>
  </si>
  <si>
    <t>DBK-CMP-100111</t>
  </si>
  <si>
    <t>DBK-CUS-500111</t>
  </si>
  <si>
    <t>2024-11-05</t>
  </si>
  <si>
    <t>DBK-CMP-100112</t>
  </si>
  <si>
    <t>DBK-CUS-500112</t>
  </si>
  <si>
    <t>2024-08-15</t>
  </si>
  <si>
    <t>DBK-CMP-100113</t>
  </si>
  <si>
    <t>DBK-CUS-500113</t>
  </si>
  <si>
    <t>2024-05-30</t>
  </si>
  <si>
    <t>2024-05-31</t>
  </si>
  <si>
    <t>DBK-CMP-100114</t>
  </si>
  <si>
    <t>DBK-CUS-500114</t>
  </si>
  <si>
    <t>2024-09-25</t>
  </si>
  <si>
    <t>DBK-CMP-100115</t>
  </si>
  <si>
    <t>DBK-CUS-500115</t>
  </si>
  <si>
    <t>2024-07-04</t>
  </si>
  <si>
    <t>2024-07-06</t>
  </si>
  <si>
    <t>DBK-CMP-100116</t>
  </si>
  <si>
    <t>DBK-CUS-500116</t>
  </si>
  <si>
    <t>2024-04-06</t>
  </si>
  <si>
    <t>DBK-CMP-100117</t>
  </si>
  <si>
    <t>DBK-CUS-500117</t>
  </si>
  <si>
    <t>DBK-CMP-100118</t>
  </si>
  <si>
    <t>DBK-CUS-500118</t>
  </si>
  <si>
    <t>2024-07-01</t>
  </si>
  <si>
    <t>2024-07-03</t>
  </si>
  <si>
    <t>DBK-CMP-100119</t>
  </si>
  <si>
    <t>DBK-CUS-500119</t>
  </si>
  <si>
    <t>2024-02-19</t>
  </si>
  <si>
    <t>DBK-CMP-100120</t>
  </si>
  <si>
    <t>DBK-CUS-500120</t>
  </si>
  <si>
    <t>2024-08-21</t>
  </si>
  <si>
    <t>DBK-CMP-100121</t>
  </si>
  <si>
    <t>DBK-CUS-500121</t>
  </si>
  <si>
    <t>2024-05-10</t>
  </si>
  <si>
    <t>DBK-CMP-100122</t>
  </si>
  <si>
    <t>DBK-CUS-500122</t>
  </si>
  <si>
    <t>2024-10-26</t>
  </si>
  <si>
    <t>2024-10-27</t>
  </si>
  <si>
    <t>DBK-CMP-100123</t>
  </si>
  <si>
    <t>DBK-CUS-500123</t>
  </si>
  <si>
    <t>2024-12-07</t>
  </si>
  <si>
    <t>DBK-CMP-100124</t>
  </si>
  <si>
    <t>DBK-CUS-500124</t>
  </si>
  <si>
    <t>2024-12-14</t>
  </si>
  <si>
    <t>DBK-CMP-100125</t>
  </si>
  <si>
    <t>DBK-CUS-500125</t>
  </si>
  <si>
    <t>2024-07-23</t>
  </si>
  <si>
    <t>DBK-CMP-100126</t>
  </si>
  <si>
    <t>DBK-CUS-500126</t>
  </si>
  <si>
    <t>DBK-CMP-100127</t>
  </si>
  <si>
    <t>DBK-CUS-500127</t>
  </si>
  <si>
    <t>2024-06-03</t>
  </si>
  <si>
    <t>DBK-CMP-100128</t>
  </si>
  <si>
    <t>DBK-CUS-500128</t>
  </si>
  <si>
    <t>2025-01-01</t>
  </si>
  <si>
    <t>DBK-CMP-100129</t>
  </si>
  <si>
    <t>DBK-CUS-500129</t>
  </si>
  <si>
    <t>2024-03-11</t>
  </si>
  <si>
    <t>2024-03-12</t>
  </si>
  <si>
    <t>DBK-CMP-100130</t>
  </si>
  <si>
    <t>DBK-CUS-500130</t>
  </si>
  <si>
    <t>2024-04-27</t>
  </si>
  <si>
    <t>DBK-CMP-100131</t>
  </si>
  <si>
    <t>DBK-CUS-500131</t>
  </si>
  <si>
    <t>DBK-CMP-100132</t>
  </si>
  <si>
    <t>DBK-CUS-500132</t>
  </si>
  <si>
    <t>2024-04-04</t>
  </si>
  <si>
    <t>DBK-CMP-100133</t>
  </si>
  <si>
    <t>DBK-CUS-500133</t>
  </si>
  <si>
    <t>2024-10-31</t>
  </si>
  <si>
    <t>DBK-CMP-100134</t>
  </si>
  <si>
    <t>DBK-CUS-500134</t>
  </si>
  <si>
    <t>2024-07-21</t>
  </si>
  <si>
    <t>DBK-CMP-100135</t>
  </si>
  <si>
    <t>DBK-CUS-500135</t>
  </si>
  <si>
    <t>2024-10-18</t>
  </si>
  <si>
    <t>DBK-CMP-100136</t>
  </si>
  <si>
    <t>DBK-CUS-500136</t>
  </si>
  <si>
    <t>2024-09-12</t>
  </si>
  <si>
    <t>2024-09-13</t>
  </si>
  <si>
    <t>DBK-CMP-100137</t>
  </si>
  <si>
    <t>DBK-CUS-500137</t>
  </si>
  <si>
    <t>DBK-CMP-100138</t>
  </si>
  <si>
    <t>DBK-CUS-500138</t>
  </si>
  <si>
    <t>2024-11-01</t>
  </si>
  <si>
    <t>DBK-CMP-100139</t>
  </si>
  <si>
    <t>DBK-CUS-500139</t>
  </si>
  <si>
    <t>2024-06-30</t>
  </si>
  <si>
    <t>DBK-CMP-100140</t>
  </si>
  <si>
    <t>DBK-CUS-500140</t>
  </si>
  <si>
    <t>2024-12-19</t>
  </si>
  <si>
    <t>DBK-CMP-100141</t>
  </si>
  <si>
    <t>DBK-CUS-500141</t>
  </si>
  <si>
    <t>DBK-CMP-100142</t>
  </si>
  <si>
    <t>DBK-CUS-500142</t>
  </si>
  <si>
    <t>DBK-CMP-100143</t>
  </si>
  <si>
    <t>DBK-CUS-500143</t>
  </si>
  <si>
    <t>DBK-CMP-100144</t>
  </si>
  <si>
    <t>DBK-CUS-500144</t>
  </si>
  <si>
    <t>DBK-CMP-100145</t>
  </si>
  <si>
    <t>DBK-CUS-500145</t>
  </si>
  <si>
    <t>2024-08-07</t>
  </si>
  <si>
    <t>DBK-CMP-100146</t>
  </si>
  <si>
    <t>DBK-CUS-500146</t>
  </si>
  <si>
    <t>2024-12-24</t>
  </si>
  <si>
    <t>DBK-CMP-100147</t>
  </si>
  <si>
    <t>DBK-CUS-500147</t>
  </si>
  <si>
    <t>2024-10-22</t>
  </si>
  <si>
    <t>DBK-CMP-100148</t>
  </si>
  <si>
    <t>DBK-CUS-500148</t>
  </si>
  <si>
    <t>DBK-CMP-100149</t>
  </si>
  <si>
    <t>DBK-CUS-500149</t>
  </si>
  <si>
    <t>2024-10-23</t>
  </si>
  <si>
    <t>DBK-CMP-100150</t>
  </si>
  <si>
    <t>DBK-CUS-500150</t>
  </si>
  <si>
    <t>2024-10-28</t>
  </si>
  <si>
    <t>DBK-CMP-100151</t>
  </si>
  <si>
    <t>DBK-CUS-500151</t>
  </si>
  <si>
    <t>2024-09-24</t>
  </si>
  <si>
    <t>DBK-CMP-100152</t>
  </si>
  <si>
    <t>DBK-CUS-500152</t>
  </si>
  <si>
    <t>DBK-CMP-100153</t>
  </si>
  <si>
    <t>DBK-CUS-500153</t>
  </si>
  <si>
    <t>DBK-CMP-100154</t>
  </si>
  <si>
    <t>DBK-CUS-500154</t>
  </si>
  <si>
    <t>DBK-CMP-100155</t>
  </si>
  <si>
    <t>DBK-CUS-500155</t>
  </si>
  <si>
    <t>2024-08-14</t>
  </si>
  <si>
    <t>DBK-CMP-100156</t>
  </si>
  <si>
    <t>DBK-CUS-500156</t>
  </si>
  <si>
    <t>2024-10-14</t>
  </si>
  <si>
    <t>2024-10-15</t>
  </si>
  <si>
    <t>DBK-CMP-100157</t>
  </si>
  <si>
    <t>DBK-CUS-500157</t>
  </si>
  <si>
    <t>2024-06-08</t>
  </si>
  <si>
    <t>DBK-CMP-100158</t>
  </si>
  <si>
    <t>DBK-CUS-500158</t>
  </si>
  <si>
    <t>DBK-CMP-100159</t>
  </si>
  <si>
    <t>DBK-CUS-500159</t>
  </si>
  <si>
    <t>2024-06-25</t>
  </si>
  <si>
    <t>2024-06-26</t>
  </si>
  <si>
    <t>DBK-CMP-100160</t>
  </si>
  <si>
    <t>DBK-CUS-500160</t>
  </si>
  <si>
    <t>DBK-CMP-100161</t>
  </si>
  <si>
    <t>DBK-CUS-500161</t>
  </si>
  <si>
    <t>2024-10-07</t>
  </si>
  <si>
    <t>DBK-CMP-100162</t>
  </si>
  <si>
    <t>DBK-CUS-500162</t>
  </si>
  <si>
    <t>2024-07-08</t>
  </si>
  <si>
    <t>2024-07-09</t>
  </si>
  <si>
    <t>DBK-CMP-100163</t>
  </si>
  <si>
    <t>DBK-CUS-500163</t>
  </si>
  <si>
    <t>2024-01-27</t>
  </si>
  <si>
    <t>DBK-CMP-100164</t>
  </si>
  <si>
    <t>DBK-CUS-500164</t>
  </si>
  <si>
    <t>2024-02-20</t>
  </si>
  <si>
    <t>DBK-CMP-100165</t>
  </si>
  <si>
    <t>DBK-CUS-500165</t>
  </si>
  <si>
    <t>2024-02-27</t>
  </si>
  <si>
    <t>DBK-CMP-100166</t>
  </si>
  <si>
    <t>DBK-CUS-500166</t>
  </si>
  <si>
    <t>DBK-CMP-100167</t>
  </si>
  <si>
    <t>DBK-CUS-500167</t>
  </si>
  <si>
    <t>2024-03-18</t>
  </si>
  <si>
    <t>DBK-CMP-100168</t>
  </si>
  <si>
    <t>DBK-CUS-500168</t>
  </si>
  <si>
    <t>2024-12-10</t>
  </si>
  <si>
    <t>2024-12-12</t>
  </si>
  <si>
    <t>DBK-CMP-100169</t>
  </si>
  <si>
    <t>DBK-CUS-500169</t>
  </si>
  <si>
    <t>2024-06-15</t>
  </si>
  <si>
    <t>DBK-CMP-100170</t>
  </si>
  <si>
    <t>DBK-CUS-500170</t>
  </si>
  <si>
    <t>2024-11-22</t>
  </si>
  <si>
    <t>DBK-CMP-100171</t>
  </si>
  <si>
    <t>DBK-CUS-500171</t>
  </si>
  <si>
    <t>2024-09-10</t>
  </si>
  <si>
    <t>DBK-CMP-100172</t>
  </si>
  <si>
    <t>DBK-CUS-500172</t>
  </si>
  <si>
    <t>DBK-CMP-100173</t>
  </si>
  <si>
    <t>DBK-CUS-500173</t>
  </si>
  <si>
    <t>2024-11-09</t>
  </si>
  <si>
    <t>DBK-CMP-100174</t>
  </si>
  <si>
    <t>DBK-CUS-500174</t>
  </si>
  <si>
    <t>2024-01-09</t>
  </si>
  <si>
    <t>DBK-CMP-100175</t>
  </si>
  <si>
    <t>DBK-CUS-500175</t>
  </si>
  <si>
    <t>2024-01-29</t>
  </si>
  <si>
    <t>DBK-CMP-100176</t>
  </si>
  <si>
    <t>DBK-CUS-500176</t>
  </si>
  <si>
    <t>2024-07-30</t>
  </si>
  <si>
    <t>DBK-CMP-100177</t>
  </si>
  <si>
    <t>DBK-CUS-500177</t>
  </si>
  <si>
    <t>2024-03-06</t>
  </si>
  <si>
    <t>DBK-CMP-100178</t>
  </si>
  <si>
    <t>DBK-CUS-500178</t>
  </si>
  <si>
    <t>DBK-CMP-100179</t>
  </si>
  <si>
    <t>DBK-CUS-500179</t>
  </si>
  <si>
    <t>DBK-CMP-100180</t>
  </si>
  <si>
    <t>DBK-CUS-500180</t>
  </si>
  <si>
    <t>2024-01-14</t>
  </si>
  <si>
    <t>2024-01-15</t>
  </si>
  <si>
    <t>DBK-CMP-100181</t>
  </si>
  <si>
    <t>DBK-CUS-500181</t>
  </si>
  <si>
    <t>DBK-CMP-100182</t>
  </si>
  <si>
    <t>DBK-CUS-500182</t>
  </si>
  <si>
    <t>DBK-CMP-100183</t>
  </si>
  <si>
    <t>DBK-CUS-500183</t>
  </si>
  <si>
    <t>DBK-CMP-100184</t>
  </si>
  <si>
    <t>DBK-CUS-500184</t>
  </si>
  <si>
    <t>2024-05-20</t>
  </si>
  <si>
    <t>DBK-CMP-100185</t>
  </si>
  <si>
    <t>DBK-CUS-500185</t>
  </si>
  <si>
    <t>DBK-CMP-100186</t>
  </si>
  <si>
    <t>DBK-CUS-500186</t>
  </si>
  <si>
    <t>2024-08-06</t>
  </si>
  <si>
    <t>DBK-CMP-100187</t>
  </si>
  <si>
    <t>DBK-CUS-500187</t>
  </si>
  <si>
    <t>DBK-CMP-100188</t>
  </si>
  <si>
    <t>DBK-CUS-500188</t>
  </si>
  <si>
    <t>DBK-CMP-100189</t>
  </si>
  <si>
    <t>DBK-CUS-500189</t>
  </si>
  <si>
    <t>DBK-CMP-100190</t>
  </si>
  <si>
    <t>DBK-CUS-500190</t>
  </si>
  <si>
    <t>DBK-CMP-100191</t>
  </si>
  <si>
    <t>DBK-CUS-500191</t>
  </si>
  <si>
    <t>DBK-CMP-100192</t>
  </si>
  <si>
    <t>DBK-CUS-500192</t>
  </si>
  <si>
    <t>2024-08-23</t>
  </si>
  <si>
    <t>2024-08-25</t>
  </si>
  <si>
    <t>DBK-CMP-100193</t>
  </si>
  <si>
    <t>DBK-CUS-500193</t>
  </si>
  <si>
    <t>2024-04-22</t>
  </si>
  <si>
    <t>2024-04-23</t>
  </si>
  <si>
    <t>DBK-CMP-100194</t>
  </si>
  <si>
    <t>DBK-CUS-500194</t>
  </si>
  <si>
    <t>DBK-CMP-100195</t>
  </si>
  <si>
    <t>DBK-CUS-500195</t>
  </si>
  <si>
    <t>DBK-CMP-100196</t>
  </si>
  <si>
    <t>DBK-CUS-500196</t>
  </si>
  <si>
    <t>DBK-CMP-100197</t>
  </si>
  <si>
    <t>DBK-CUS-500197</t>
  </si>
  <si>
    <t>DBK-CMP-100198</t>
  </si>
  <si>
    <t>DBK-CUS-500198</t>
  </si>
  <si>
    <t>DBK-CMP-100199</t>
  </si>
  <si>
    <t>DBK-CUS-500199</t>
  </si>
  <si>
    <t>2024-08-17</t>
  </si>
  <si>
    <t>DBK-CMP-100200</t>
  </si>
  <si>
    <t>DBK-CUS-500200</t>
  </si>
  <si>
    <t>2024-04-28</t>
  </si>
  <si>
    <t>DBK-CMP-100201</t>
  </si>
  <si>
    <t>DBK-CUS-500201</t>
  </si>
  <si>
    <t>2024-08-19</t>
  </si>
  <si>
    <t>DBK-CMP-100202</t>
  </si>
  <si>
    <t>DBK-CUS-500202</t>
  </si>
  <si>
    <t>DBK-CMP-100203</t>
  </si>
  <si>
    <t>DBK-CUS-500203</t>
  </si>
  <si>
    <t>2024-03-24</t>
  </si>
  <si>
    <t>DBK-CMP-100204</t>
  </si>
  <si>
    <t>DBK-CUS-500204</t>
  </si>
  <si>
    <t>2024-03-07</t>
  </si>
  <si>
    <t>DBK-CMP-100205</t>
  </si>
  <si>
    <t>DBK-CUS-500205</t>
  </si>
  <si>
    <t>2024-05-27</t>
  </si>
  <si>
    <t>DBK-CMP-100206</t>
  </si>
  <si>
    <t>DBK-CUS-500206</t>
  </si>
  <si>
    <t>DBK-CMP-100207</t>
  </si>
  <si>
    <t>DBK-CUS-500207</t>
  </si>
  <si>
    <t>DBK-CMP-100208</t>
  </si>
  <si>
    <t>DBK-CUS-500208</t>
  </si>
  <si>
    <t>2024-03-16</t>
  </si>
  <si>
    <t>DBK-CMP-100209</t>
  </si>
  <si>
    <t>DBK-CUS-500209</t>
  </si>
  <si>
    <t>DBK-CMP-100210</t>
  </si>
  <si>
    <t>DBK-CUS-500210</t>
  </si>
  <si>
    <t>2024-02-21</t>
  </si>
  <si>
    <t>DBK-CMP-100211</t>
  </si>
  <si>
    <t>DBK-CUS-500211</t>
  </si>
  <si>
    <t>2024-02-26</t>
  </si>
  <si>
    <t>DBK-CMP-100212</t>
  </si>
  <si>
    <t>DBK-CUS-500212</t>
  </si>
  <si>
    <t>2024-09-15</t>
  </si>
  <si>
    <t>DBK-CMP-100213</t>
  </si>
  <si>
    <t>DBK-CUS-500213</t>
  </si>
  <si>
    <t>DBK-CMP-100214</t>
  </si>
  <si>
    <t>DBK-CUS-500214</t>
  </si>
  <si>
    <t>DBK-CMP-100215</t>
  </si>
  <si>
    <t>DBK-CUS-500215</t>
  </si>
  <si>
    <t>DBK-CMP-100216</t>
  </si>
  <si>
    <t>DBK-CUS-500216</t>
  </si>
  <si>
    <t>DBK-CMP-100217</t>
  </si>
  <si>
    <t>DBK-CUS-500217</t>
  </si>
  <si>
    <t>2024-12-02</t>
  </si>
  <si>
    <t>DBK-CMP-100218</t>
  </si>
  <si>
    <t>DBK-CUS-500218</t>
  </si>
  <si>
    <t>2024-07-12</t>
  </si>
  <si>
    <t>2024-07-13</t>
  </si>
  <si>
    <t>DBK-CMP-100219</t>
  </si>
  <si>
    <t>DBK-CUS-500219</t>
  </si>
  <si>
    <t>DBK-CMP-100220</t>
  </si>
  <si>
    <t>DBK-CUS-500220</t>
  </si>
  <si>
    <t>2024-11-12</t>
  </si>
  <si>
    <t>DBK-CMP-100221</t>
  </si>
  <si>
    <t>DBK-CUS-500221</t>
  </si>
  <si>
    <t>2024-07-05</t>
  </si>
  <si>
    <t>DBK-CMP-100222</t>
  </si>
  <si>
    <t>DBK-CUS-500222</t>
  </si>
  <si>
    <t>DBK-CMP-100223</t>
  </si>
  <si>
    <t>DBK-CUS-500223</t>
  </si>
  <si>
    <t>2024-08-05</t>
  </si>
  <si>
    <t>DBK-CMP-100224</t>
  </si>
  <si>
    <t>DBK-CUS-500224</t>
  </si>
  <si>
    <t>DBK-CMP-100225</t>
  </si>
  <si>
    <t>DBK-CUS-500225</t>
  </si>
  <si>
    <t>2024-03-15</t>
  </si>
  <si>
    <t>DBK-CMP-100226</t>
  </si>
  <si>
    <t>DBK-CUS-500226</t>
  </si>
  <si>
    <t>DBK-CMP-100227</t>
  </si>
  <si>
    <t>DBK-CUS-500227</t>
  </si>
  <si>
    <t>2024-04-13</t>
  </si>
  <si>
    <t>DBK-CMP-100228</t>
  </si>
  <si>
    <t>DBK-CUS-500228</t>
  </si>
  <si>
    <t>DBK-CMP-100229</t>
  </si>
  <si>
    <t>DBK-CUS-500229</t>
  </si>
  <si>
    <t>2024-11-18</t>
  </si>
  <si>
    <t>2024-11-19</t>
  </si>
  <si>
    <t>DBK-CMP-100230</t>
  </si>
  <si>
    <t>DBK-CUS-500230</t>
  </si>
  <si>
    <t>2024-01-20</t>
  </si>
  <si>
    <t>DBK-CMP-100231</t>
  </si>
  <si>
    <t>DBK-CUS-500231</t>
  </si>
  <si>
    <t>DBK-CMP-100232</t>
  </si>
  <si>
    <t>DBK-CUS-500232</t>
  </si>
  <si>
    <t>2024-02-09</t>
  </si>
  <si>
    <t>DBK-CMP-100233</t>
  </si>
  <si>
    <t>DBK-CUS-500233</t>
  </si>
  <si>
    <t>DBK-CMP-100234</t>
  </si>
  <si>
    <t>DBK-CUS-500234</t>
  </si>
  <si>
    <t>2024-10-06</t>
  </si>
  <si>
    <t>DBK-CMP-100235</t>
  </si>
  <si>
    <t>DBK-CUS-500235</t>
  </si>
  <si>
    <t>DBK-CMP-100236</t>
  </si>
  <si>
    <t>DBK-CUS-500236</t>
  </si>
  <si>
    <t>2024-11-23</t>
  </si>
  <si>
    <t>DBK-CMP-100237</t>
  </si>
  <si>
    <t>DBK-CUS-500237</t>
  </si>
  <si>
    <t>2024-01-22</t>
  </si>
  <si>
    <t>DBK-CMP-100238</t>
  </si>
  <si>
    <t>DBK-CUS-500238</t>
  </si>
  <si>
    <t>2024-08-10</t>
  </si>
  <si>
    <t>DBK-CMP-100239</t>
  </si>
  <si>
    <t>DBK-CUS-500239</t>
  </si>
  <si>
    <t>DBK-CMP-100240</t>
  </si>
  <si>
    <t>DBK-CUS-500240</t>
  </si>
  <si>
    <t>DBK-CMP-100241</t>
  </si>
  <si>
    <t>DBK-CUS-500241</t>
  </si>
  <si>
    <t>2024-03-10</t>
  </si>
  <si>
    <t>DBK-CMP-100242</t>
  </si>
  <si>
    <t>DBK-CUS-500242</t>
  </si>
  <si>
    <t>DBK-CMP-100243</t>
  </si>
  <si>
    <t>DBK-CUS-500243</t>
  </si>
  <si>
    <t>DBK-CMP-100244</t>
  </si>
  <si>
    <t>DBK-CUS-500244</t>
  </si>
  <si>
    <t>DBK-CMP-100245</t>
  </si>
  <si>
    <t>DBK-CUS-500245</t>
  </si>
  <si>
    <t>DBK-CMP-100246</t>
  </si>
  <si>
    <t>DBK-CUS-500246</t>
  </si>
  <si>
    <t>2024-10-02</t>
  </si>
  <si>
    <t>DBK-CMP-100247</t>
  </si>
  <si>
    <t>DBK-CUS-500247</t>
  </si>
  <si>
    <t>DBK-CMP-100248</t>
  </si>
  <si>
    <t>DBK-CUS-500248</t>
  </si>
  <si>
    <t>DBK-CMP-100249</t>
  </si>
  <si>
    <t>DBK-CUS-500249</t>
  </si>
  <si>
    <t>DBK-CMP-100250</t>
  </si>
  <si>
    <t>DBK-CUS-500250</t>
  </si>
  <si>
    <t>2024-02-23</t>
  </si>
  <si>
    <t>DBK-CMP-100251</t>
  </si>
  <si>
    <t>DBK-CUS-500251</t>
  </si>
  <si>
    <t>DBK-CMP-100252</t>
  </si>
  <si>
    <t>DBK-CUS-500252</t>
  </si>
  <si>
    <t>DBK-CMP-100253</t>
  </si>
  <si>
    <t>DBK-CUS-500253</t>
  </si>
  <si>
    <t>DBK-CMP-100254</t>
  </si>
  <si>
    <t>DBK-CUS-500254</t>
  </si>
  <si>
    <t>2024-08-16</t>
  </si>
  <si>
    <t>DBK-CMP-100255</t>
  </si>
  <si>
    <t>DBK-CUS-500255</t>
  </si>
  <si>
    <t>2024-03-21</t>
  </si>
  <si>
    <t>DBK-CMP-100256</t>
  </si>
  <si>
    <t>DBK-CUS-500256</t>
  </si>
  <si>
    <t>2024-02-18</t>
  </si>
  <si>
    <t>DBK-CMP-100257</t>
  </si>
  <si>
    <t>DBK-CUS-500257</t>
  </si>
  <si>
    <t>2024-07-15</t>
  </si>
  <si>
    <t>DBK-CMP-100258</t>
  </si>
  <si>
    <t>DBK-CUS-500258</t>
  </si>
  <si>
    <t>DBK-CMP-100259</t>
  </si>
  <si>
    <t>DBK-CUS-500259</t>
  </si>
  <si>
    <t>DBK-CMP-100260</t>
  </si>
  <si>
    <t>DBK-CUS-500260</t>
  </si>
  <si>
    <t>2024-09-23</t>
  </si>
  <si>
    <t>DBK-CMP-100261</t>
  </si>
  <si>
    <t>DBK-CUS-500261</t>
  </si>
  <si>
    <t>2024-10-12</t>
  </si>
  <si>
    <t>2024-10-13</t>
  </si>
  <si>
    <t>DBK-CMP-100262</t>
  </si>
  <si>
    <t>DBK-CUS-500262</t>
  </si>
  <si>
    <t>2024-01-26</t>
  </si>
  <si>
    <t>DBK-CMP-100263</t>
  </si>
  <si>
    <t>DBK-CUS-500263</t>
  </si>
  <si>
    <t>DBK-CMP-100264</t>
  </si>
  <si>
    <t>DBK-CUS-500264</t>
  </si>
  <si>
    <t>DBK-CMP-100265</t>
  </si>
  <si>
    <t>DBK-CUS-500265</t>
  </si>
  <si>
    <t>2024-04-29</t>
  </si>
  <si>
    <t>DBK-CMP-100266</t>
  </si>
  <si>
    <t>DBK-CUS-500266</t>
  </si>
  <si>
    <t>DBK-CMP-100267</t>
  </si>
  <si>
    <t>DBK-CUS-500267</t>
  </si>
  <si>
    <t>2024-05-15</t>
  </si>
  <si>
    <t>DBK-CMP-100268</t>
  </si>
  <si>
    <t>DBK-CUS-500268</t>
  </si>
  <si>
    <t>2024-11-03</t>
  </si>
  <si>
    <t>DBK-CMP-100269</t>
  </si>
  <si>
    <t>DBK-CUS-500269</t>
  </si>
  <si>
    <t>2024-01-08</t>
  </si>
  <si>
    <t>DBK-CMP-100270</t>
  </si>
  <si>
    <t>DBK-CUS-500270</t>
  </si>
  <si>
    <t>DBK-CMP-100271</t>
  </si>
  <si>
    <t>DBK-CUS-500271</t>
  </si>
  <si>
    <t>DBK-CMP-100272</t>
  </si>
  <si>
    <t>DBK-CUS-500272</t>
  </si>
  <si>
    <t>DBK-CMP-100273</t>
  </si>
  <si>
    <t>DBK-CUS-500273</t>
  </si>
  <si>
    <t>DBK-CMP-100274</t>
  </si>
  <si>
    <t>DBK-CUS-500274</t>
  </si>
  <si>
    <t>DBK-CMP-100275</t>
  </si>
  <si>
    <t>DBK-CUS-500275</t>
  </si>
  <si>
    <t>DBK-CMP-100276</t>
  </si>
  <si>
    <t>DBK-CUS-500276</t>
  </si>
  <si>
    <t>2024-05-08</t>
  </si>
  <si>
    <t>DBK-CMP-100277</t>
  </si>
  <si>
    <t>DBK-CUS-500277</t>
  </si>
  <si>
    <t>2024-07-11</t>
  </si>
  <si>
    <t>DBK-CMP-100278</t>
  </si>
  <si>
    <t>DBK-CUS-500278</t>
  </si>
  <si>
    <t>2024-05-06</t>
  </si>
  <si>
    <t>DBK-CMP-100279</t>
  </si>
  <si>
    <t>DBK-CUS-500279</t>
  </si>
  <si>
    <t>2024-02-11</t>
  </si>
  <si>
    <t>DBK-CMP-100280</t>
  </si>
  <si>
    <t>DBK-CUS-500280</t>
  </si>
  <si>
    <t>DBK-CMP-100281</t>
  </si>
  <si>
    <t>DBK-CUS-500281</t>
  </si>
  <si>
    <t>2024-02-03</t>
  </si>
  <si>
    <t>DBK-CMP-100282</t>
  </si>
  <si>
    <t>DBK-CUS-500282</t>
  </si>
  <si>
    <t>DBK-CMP-100283</t>
  </si>
  <si>
    <t>DBK-CUS-500283</t>
  </si>
  <si>
    <t>2024-05-07</t>
  </si>
  <si>
    <t>2024-05-09</t>
  </si>
  <si>
    <t>DBK-CMP-100284</t>
  </si>
  <si>
    <t>DBK-CUS-500284</t>
  </si>
  <si>
    <t>DBK-CMP-100285</t>
  </si>
  <si>
    <t>DBK-CUS-500285</t>
  </si>
  <si>
    <t>DBK-CMP-100286</t>
  </si>
  <si>
    <t>DBK-CUS-500286</t>
  </si>
  <si>
    <t>DBK-CMP-100287</t>
  </si>
  <si>
    <t>DBK-CUS-500287</t>
  </si>
  <si>
    <t>2024-08-04</t>
  </si>
  <si>
    <t>DBK-CMP-100288</t>
  </si>
  <si>
    <t>DBK-CUS-500288</t>
  </si>
  <si>
    <t>DBK-CMP-100289</t>
  </si>
  <si>
    <t>DBK-CUS-500289</t>
  </si>
  <si>
    <t>DBK-CMP-100290</t>
  </si>
  <si>
    <t>DBK-CUS-500290</t>
  </si>
  <si>
    <t>DBK-CMP-100291</t>
  </si>
  <si>
    <t>DBK-CUS-500291</t>
  </si>
  <si>
    <t>DBK-CMP-100292</t>
  </si>
  <si>
    <t>DBK-CUS-500292</t>
  </si>
  <si>
    <t>DBK-CMP-100293</t>
  </si>
  <si>
    <t>DBK-CUS-500293</t>
  </si>
  <si>
    <t>DBK-CMP-100294</t>
  </si>
  <si>
    <t>DBK-CUS-500294</t>
  </si>
  <si>
    <t>DBK-CMP-100295</t>
  </si>
  <si>
    <t>DBK-CUS-500295</t>
  </si>
  <si>
    <t>2024-06-05</t>
  </si>
  <si>
    <t>2024-06-06</t>
  </si>
  <si>
    <t>DBK-CMP-100296</t>
  </si>
  <si>
    <t>DBK-CUS-500296</t>
  </si>
  <si>
    <t>DBK-CMP-100297</t>
  </si>
  <si>
    <t>DBK-CUS-500297</t>
  </si>
  <si>
    <t>2024-12-04</t>
  </si>
  <si>
    <t>DBK-CMP-100298</t>
  </si>
  <si>
    <t>DBK-CUS-500298</t>
  </si>
  <si>
    <t>2024-05-05</t>
  </si>
  <si>
    <t>DBK-CMP-100299</t>
  </si>
  <si>
    <t>DBK-CUS-500299</t>
  </si>
  <si>
    <t>DBK-CMP-100300</t>
  </si>
  <si>
    <t>DBK-CUS-500300</t>
  </si>
  <si>
    <t>DBK-CMP-100301</t>
  </si>
  <si>
    <t>DBK-CUS-500301</t>
  </si>
  <si>
    <t>DBK-CMP-100302</t>
  </si>
  <si>
    <t>DBK-CUS-500302</t>
  </si>
  <si>
    <t>DBK-CMP-100303</t>
  </si>
  <si>
    <t>DBK-CUS-500303</t>
  </si>
  <si>
    <t>DBK-CMP-100304</t>
  </si>
  <si>
    <t>DBK-CUS-500304</t>
  </si>
  <si>
    <t>DBK-CMP-100305</t>
  </si>
  <si>
    <t>DBK-CUS-500305</t>
  </si>
  <si>
    <t>DBK-CMP-100306</t>
  </si>
  <si>
    <t>DBK-CUS-500306</t>
  </si>
  <si>
    <t>2024-03-20</t>
  </si>
  <si>
    <t>DBK-CMP-100307</t>
  </si>
  <si>
    <t>DBK-CUS-500307</t>
  </si>
  <si>
    <t>2024-07-25</t>
  </si>
  <si>
    <t>DBK-CMP-100308</t>
  </si>
  <si>
    <t>DBK-CUS-500308</t>
  </si>
  <si>
    <t>DBK-CMP-100309</t>
  </si>
  <si>
    <t>DBK-CUS-500309</t>
  </si>
  <si>
    <t>2024-06-07</t>
  </si>
  <si>
    <t>DBK-CMP-100310</t>
  </si>
  <si>
    <t>DBK-CUS-500310</t>
  </si>
  <si>
    <t>2024-01-01</t>
  </si>
  <si>
    <t>DBK-CMP-100311</t>
  </si>
  <si>
    <t>DBK-CUS-500311</t>
  </si>
  <si>
    <t>2024-12-03</t>
  </si>
  <si>
    <t>DBK-CMP-100312</t>
  </si>
  <si>
    <t>DBK-CUS-500312</t>
  </si>
  <si>
    <t>2024-12-17</t>
  </si>
  <si>
    <t>2024-12-20</t>
  </si>
  <si>
    <t>DBK-CMP-100313</t>
  </si>
  <si>
    <t>DBK-CUS-500313</t>
  </si>
  <si>
    <t>2024-03-19</t>
  </si>
  <si>
    <t>DBK-CMP-100314</t>
  </si>
  <si>
    <t>DBK-CUS-500314</t>
  </si>
  <si>
    <t>DBK-CMP-100315</t>
  </si>
  <si>
    <t>DBK-CUS-500315</t>
  </si>
  <si>
    <t>DBK-CMP-100316</t>
  </si>
  <si>
    <t>DBK-CUS-500316</t>
  </si>
  <si>
    <t>2024-02-24</t>
  </si>
  <si>
    <t>DBK-CMP-100317</t>
  </si>
  <si>
    <t>DBK-CUS-500317</t>
  </si>
  <si>
    <t>2024-07-02</t>
  </si>
  <si>
    <t>DBK-CMP-100318</t>
  </si>
  <si>
    <t>DBK-CUS-500318</t>
  </si>
  <si>
    <t>DBK-CMP-100319</t>
  </si>
  <si>
    <t>DBK-CUS-500319</t>
  </si>
  <si>
    <t>2024-04-12</t>
  </si>
  <si>
    <t>2024-04-14</t>
  </si>
  <si>
    <t>DBK-CMP-100320</t>
  </si>
  <si>
    <t>DBK-CUS-500320</t>
  </si>
  <si>
    <t>2024-02-28</t>
  </si>
  <si>
    <t>DBK-CMP-100321</t>
  </si>
  <si>
    <t>DBK-CUS-500321</t>
  </si>
  <si>
    <t>2024-04-10</t>
  </si>
  <si>
    <t>DBK-CMP-100322</t>
  </si>
  <si>
    <t>DBK-CUS-500322</t>
  </si>
  <si>
    <t>2024-12-08</t>
  </si>
  <si>
    <t>DBK-CMP-100323</t>
  </si>
  <si>
    <t>DBK-CUS-500323</t>
  </si>
  <si>
    <t>DBK-CMP-100324</t>
  </si>
  <si>
    <t>DBK-CUS-500324</t>
  </si>
  <si>
    <t>2024-11-15</t>
  </si>
  <si>
    <t>DBK-CMP-100325</t>
  </si>
  <si>
    <t>DBK-CUS-500325</t>
  </si>
  <si>
    <t>DBK-CMP-100326</t>
  </si>
  <si>
    <t>DBK-CUS-500326</t>
  </si>
  <si>
    <t>DBK-CMP-100327</t>
  </si>
  <si>
    <t>DBK-CUS-500327</t>
  </si>
  <si>
    <t>2024-01-19</t>
  </si>
  <si>
    <t>DBK-CMP-100328</t>
  </si>
  <si>
    <t>DBK-CUS-500328</t>
  </si>
  <si>
    <t>2024-02-04</t>
  </si>
  <si>
    <t>DBK-CMP-100329</t>
  </si>
  <si>
    <t>DBK-CUS-500329</t>
  </si>
  <si>
    <t>2024-04-15</t>
  </si>
  <si>
    <t>DBK-CMP-100330</t>
  </si>
  <si>
    <t>DBK-CUS-500330</t>
  </si>
  <si>
    <t>DBK-CMP-100331</t>
  </si>
  <si>
    <t>DBK-CUS-500331</t>
  </si>
  <si>
    <t>2024-05-29</t>
  </si>
  <si>
    <t>DBK-CMP-100332</t>
  </si>
  <si>
    <t>DBK-CUS-500332</t>
  </si>
  <si>
    <t>2024-03-29</t>
  </si>
  <si>
    <t>DBK-CMP-100333</t>
  </si>
  <si>
    <t>DBK-CUS-500333</t>
  </si>
  <si>
    <t>DBK-CMP-100334</t>
  </si>
  <si>
    <t>DBK-CUS-500334</t>
  </si>
  <si>
    <t>DBK-CMP-100335</t>
  </si>
  <si>
    <t>DBK-CUS-500335</t>
  </si>
  <si>
    <t>2024-03-14</t>
  </si>
  <si>
    <t>DBK-CMP-100336</t>
  </si>
  <si>
    <t>DBK-CUS-500336</t>
  </si>
  <si>
    <t>DBK-CMP-100337</t>
  </si>
  <si>
    <t>DBK-CUS-500337</t>
  </si>
  <si>
    <t>DBK-CMP-100338</t>
  </si>
  <si>
    <t>DBK-CUS-500338</t>
  </si>
  <si>
    <t>DBK-CMP-100339</t>
  </si>
  <si>
    <t>DBK-CUS-500339</t>
  </si>
  <si>
    <t>DBK-CMP-100340</t>
  </si>
  <si>
    <t>DBK-CUS-500340</t>
  </si>
  <si>
    <t>DBK-CMP-100341</t>
  </si>
  <si>
    <t>DBK-CUS-500341</t>
  </si>
  <si>
    <t>DBK-CMP-100342</t>
  </si>
  <si>
    <t>DBK-CUS-500342</t>
  </si>
  <si>
    <t>2024-08-12</t>
  </si>
  <si>
    <t>DBK-CMP-100343</t>
  </si>
  <si>
    <t>DBK-CUS-500343</t>
  </si>
  <si>
    <t>DBK-CMP-100344</t>
  </si>
  <si>
    <t>DBK-CUS-500344</t>
  </si>
  <si>
    <t>DBK-CMP-100345</t>
  </si>
  <si>
    <t>DBK-CUS-500345</t>
  </si>
  <si>
    <t>DBK-CMP-100346</t>
  </si>
  <si>
    <t>DBK-CUS-500346</t>
  </si>
  <si>
    <t>DBK-CMP-100347</t>
  </si>
  <si>
    <t>DBK-CUS-500347</t>
  </si>
  <si>
    <t>DBK-CMP-100348</t>
  </si>
  <si>
    <t>DBK-CUS-500348</t>
  </si>
  <si>
    <t>DBK-CMP-100349</t>
  </si>
  <si>
    <t>DBK-CUS-500349</t>
  </si>
  <si>
    <t>DBK-CMP-100350</t>
  </si>
  <si>
    <t>DBK-CUS-500350</t>
  </si>
  <si>
    <t>DBK-CMP-100351</t>
  </si>
  <si>
    <t>DBK-CUS-500351</t>
  </si>
  <si>
    <t>2024-09-22</t>
  </si>
  <si>
    <t>DBK-CMP-100352</t>
  </si>
  <si>
    <t>DBK-CUS-500352</t>
  </si>
  <si>
    <t>2024-03-13</t>
  </si>
  <si>
    <t>DBK-CMP-100353</t>
  </si>
  <si>
    <t>DBK-CUS-500353</t>
  </si>
  <si>
    <t>2024-12-27</t>
  </si>
  <si>
    <t>2024-12-29</t>
  </si>
  <si>
    <t>DBK-CMP-100354</t>
  </si>
  <si>
    <t>DBK-CUS-500354</t>
  </si>
  <si>
    <t>2024-01-16</t>
  </si>
  <si>
    <t>DBK-CMP-100355</t>
  </si>
  <si>
    <t>DBK-CUS-500355</t>
  </si>
  <si>
    <t>DBK-CMP-100356</t>
  </si>
  <si>
    <t>DBK-CUS-500356</t>
  </si>
  <si>
    <t>DBK-CMP-100357</t>
  </si>
  <si>
    <t>DBK-CUS-500357</t>
  </si>
  <si>
    <t>DBK-CMP-100358</t>
  </si>
  <si>
    <t>DBK-CUS-500358</t>
  </si>
  <si>
    <t>DBK-CMP-100359</t>
  </si>
  <si>
    <t>DBK-CUS-500359</t>
  </si>
  <si>
    <t>2024-09-17</t>
  </si>
  <si>
    <t>2024-09-20</t>
  </si>
  <si>
    <t>DBK-CMP-100360</t>
  </si>
  <si>
    <t>DBK-CUS-500360</t>
  </si>
  <si>
    <t>DBK-CMP-100361</t>
  </si>
  <si>
    <t>DBK-CUS-500361</t>
  </si>
  <si>
    <t>DBK-CMP-100362</t>
  </si>
  <si>
    <t>DBK-CUS-500362</t>
  </si>
  <si>
    <t>2024-08-01</t>
  </si>
  <si>
    <t>DBK-CMP-100363</t>
  </si>
  <si>
    <t>DBK-CUS-500363</t>
  </si>
  <si>
    <t>DBK-CMP-100364</t>
  </si>
  <si>
    <t>DBK-CUS-500364</t>
  </si>
  <si>
    <t>DBK-CMP-100365</t>
  </si>
  <si>
    <t>DBK-CUS-500365</t>
  </si>
  <si>
    <t>2024-12-05</t>
  </si>
  <si>
    <t>DBK-CMP-100366</t>
  </si>
  <si>
    <t>DBK-CUS-500366</t>
  </si>
  <si>
    <t>DBK-CMP-100367</t>
  </si>
  <si>
    <t>DBK-CUS-500367</t>
  </si>
  <si>
    <t>2024-11-11</t>
  </si>
  <si>
    <t>DBK-CMP-100368</t>
  </si>
  <si>
    <t>DBK-CUS-500368</t>
  </si>
  <si>
    <t>DBK-CMP-100369</t>
  </si>
  <si>
    <t>DBK-CUS-500369</t>
  </si>
  <si>
    <t>DBK-CMP-100370</t>
  </si>
  <si>
    <t>DBK-CUS-500370</t>
  </si>
  <si>
    <t>DBK-CMP-100371</t>
  </si>
  <si>
    <t>DBK-CUS-500371</t>
  </si>
  <si>
    <t>DBK-CMP-100372</t>
  </si>
  <si>
    <t>DBK-CUS-500372</t>
  </si>
  <si>
    <t>DBK-CMP-100373</t>
  </si>
  <si>
    <t>DBK-CUS-500373</t>
  </si>
  <si>
    <t>2024-02-22</t>
  </si>
  <si>
    <t>DBK-CMP-100374</t>
  </si>
  <si>
    <t>DBK-CUS-500374</t>
  </si>
  <si>
    <t>2024-04-09</t>
  </si>
  <si>
    <t>DBK-CMP-100375</t>
  </si>
  <si>
    <t>DBK-CUS-500375</t>
  </si>
  <si>
    <t>DBK-CMP-100376</t>
  </si>
  <si>
    <t>DBK-CUS-500376</t>
  </si>
  <si>
    <t>DBK-CMP-100377</t>
  </si>
  <si>
    <t>DBK-CUS-500377</t>
  </si>
  <si>
    <t>DBK-CMP-100378</t>
  </si>
  <si>
    <t>DBK-CUS-500378</t>
  </si>
  <si>
    <t>DBK-CMP-100379</t>
  </si>
  <si>
    <t>DBK-CUS-500379</t>
  </si>
  <si>
    <t>DBK-CMP-100380</t>
  </si>
  <si>
    <t>DBK-CUS-500380</t>
  </si>
  <si>
    <t>2024-01-12</t>
  </si>
  <si>
    <t>DBK-CMP-100381</t>
  </si>
  <si>
    <t>DBK-CUS-500381</t>
  </si>
  <si>
    <t>DBK-CMP-100382</t>
  </si>
  <si>
    <t>DBK-CUS-500382</t>
  </si>
  <si>
    <t>DBK-CMP-100383</t>
  </si>
  <si>
    <t>DBK-CUS-500383</t>
  </si>
  <si>
    <t>2024-10-25</t>
  </si>
  <si>
    <t>DBK-CMP-100384</t>
  </si>
  <si>
    <t>DBK-CUS-500384</t>
  </si>
  <si>
    <t>DBK-CMP-100385</t>
  </si>
  <si>
    <t>DBK-CUS-500385</t>
  </si>
  <si>
    <t>2024-08-29</t>
  </si>
  <si>
    <t>2024-08-30</t>
  </si>
  <si>
    <t>DBK-CMP-100386</t>
  </si>
  <si>
    <t>DBK-CUS-500386</t>
  </si>
  <si>
    <t>DBK-CMP-100387</t>
  </si>
  <si>
    <t>DBK-CUS-500387</t>
  </si>
  <si>
    <t>DBK-CMP-100388</t>
  </si>
  <si>
    <t>DBK-CUS-500388</t>
  </si>
  <si>
    <t>DBK-CMP-100389</t>
  </si>
  <si>
    <t>DBK-CUS-500389</t>
  </si>
  <si>
    <t>2024-02-05</t>
  </si>
  <si>
    <t>DBK-CMP-100390</t>
  </si>
  <si>
    <t>DBK-CUS-500390</t>
  </si>
  <si>
    <t>DBK-CMP-100391</t>
  </si>
  <si>
    <t>DBK-CUS-500391</t>
  </si>
  <si>
    <t>DBK-CMP-100392</t>
  </si>
  <si>
    <t>DBK-CUS-500392</t>
  </si>
  <si>
    <t>DBK-CMP-100393</t>
  </si>
  <si>
    <t>DBK-CUS-500393</t>
  </si>
  <si>
    <t>2024-04-24</t>
  </si>
  <si>
    <t>DBK-CMP-100394</t>
  </si>
  <si>
    <t>DBK-CUS-500394</t>
  </si>
  <si>
    <t>DBK-CMP-100395</t>
  </si>
  <si>
    <t>DBK-CUS-500395</t>
  </si>
  <si>
    <t>DBK-CMP-100396</t>
  </si>
  <si>
    <t>DBK-CUS-500396</t>
  </si>
  <si>
    <t>DBK-CMP-100397</t>
  </si>
  <si>
    <t>DBK-CUS-500397</t>
  </si>
  <si>
    <t>DBK-CMP-100398</t>
  </si>
  <si>
    <t>DBK-CUS-500398</t>
  </si>
  <si>
    <t>DBK-CMP-100399</t>
  </si>
  <si>
    <t>DBK-CUS-500399</t>
  </si>
  <si>
    <t>DBK-CMP-100400</t>
  </si>
  <si>
    <t>DBK-CUS-500400</t>
  </si>
  <si>
    <t>DBK-CMP-100401</t>
  </si>
  <si>
    <t>DBK-CUS-500401</t>
  </si>
  <si>
    <t>2024-03-26</t>
  </si>
  <si>
    <t>DBK-CMP-100402</t>
  </si>
  <si>
    <t>DBK-CUS-500402</t>
  </si>
  <si>
    <t>2024-09-04</t>
  </si>
  <si>
    <t>DBK-CMP-100403</t>
  </si>
  <si>
    <t>DBK-CUS-500403</t>
  </si>
  <si>
    <t>DBK-CMP-100404</t>
  </si>
  <si>
    <t>DBK-CUS-500404</t>
  </si>
  <si>
    <t>DBK-CMP-100405</t>
  </si>
  <si>
    <t>DBK-CUS-500405</t>
  </si>
  <si>
    <t>DBK-CMP-100406</t>
  </si>
  <si>
    <t>DBK-CUS-500406</t>
  </si>
  <si>
    <t>DBK-CMP-100407</t>
  </si>
  <si>
    <t>DBK-CUS-500407</t>
  </si>
  <si>
    <t>DBK-CMP-100408</t>
  </si>
  <si>
    <t>DBK-CUS-500408</t>
  </si>
  <si>
    <t>2024-03-27</t>
  </si>
  <si>
    <t>DBK-CMP-100409</t>
  </si>
  <si>
    <t>DBK-CUS-500409</t>
  </si>
  <si>
    <t>DBK-CMP-100410</t>
  </si>
  <si>
    <t>DBK-CUS-500410</t>
  </si>
  <si>
    <t>2024-02-14</t>
  </si>
  <si>
    <t>DBK-CMP-100411</t>
  </si>
  <si>
    <t>DBK-CUS-500411</t>
  </si>
  <si>
    <t>DBK-CMP-100412</t>
  </si>
  <si>
    <t>DBK-CUS-500412</t>
  </si>
  <si>
    <t>DBK-CMP-100413</t>
  </si>
  <si>
    <t>DBK-CUS-500413</t>
  </si>
  <si>
    <t>DBK-CMP-100414</t>
  </si>
  <si>
    <t>DBK-CUS-500414</t>
  </si>
  <si>
    <t>DBK-CMP-100415</t>
  </si>
  <si>
    <t>DBK-CUS-500415</t>
  </si>
  <si>
    <t>DBK-CMP-100416</t>
  </si>
  <si>
    <t>DBK-CUS-500416</t>
  </si>
  <si>
    <t>2024-08-18</t>
  </si>
  <si>
    <t>DBK-CMP-100417</t>
  </si>
  <si>
    <t>DBK-CUS-500417</t>
  </si>
  <si>
    <t>2024-01-23</t>
  </si>
  <si>
    <t>DBK-CMP-100418</t>
  </si>
  <si>
    <t>DBK-CUS-500418</t>
  </si>
  <si>
    <t>2024-09-11</t>
  </si>
  <si>
    <t>DBK-CMP-100419</t>
  </si>
  <si>
    <t>DBK-CUS-500419</t>
  </si>
  <si>
    <t>DBK-CMP-100420</t>
  </si>
  <si>
    <t>DBK-CUS-500420</t>
  </si>
  <si>
    <t>DBK-CMP-100421</t>
  </si>
  <si>
    <t>DBK-CUS-500421</t>
  </si>
  <si>
    <t>DBK-CMP-100422</t>
  </si>
  <si>
    <t>DBK-CUS-500422</t>
  </si>
  <si>
    <t>DBK-CMP-100423</t>
  </si>
  <si>
    <t>DBK-CUS-500423</t>
  </si>
  <si>
    <t>DBK-CMP-100424</t>
  </si>
  <si>
    <t>DBK-CUS-500424</t>
  </si>
  <si>
    <t>2024-11-29</t>
  </si>
  <si>
    <t>DBK-CMP-100425</t>
  </si>
  <si>
    <t>DBK-CUS-500425</t>
  </si>
  <si>
    <t>DBK-CMP-100426</t>
  </si>
  <si>
    <t>DBK-CUS-500426</t>
  </si>
  <si>
    <t>2024-12-01</t>
  </si>
  <si>
    <t>DBK-CMP-100427</t>
  </si>
  <si>
    <t>DBK-CUS-500427</t>
  </si>
  <si>
    <t>DBK-CMP-100428</t>
  </si>
  <si>
    <t>DBK-CUS-500428</t>
  </si>
  <si>
    <t>DBK-CMP-100429</t>
  </si>
  <si>
    <t>DBK-CUS-500429</t>
  </si>
  <si>
    <t>DBK-CMP-100430</t>
  </si>
  <si>
    <t>DBK-CUS-500430</t>
  </si>
  <si>
    <t>2024-12-18</t>
  </si>
  <si>
    <t>DBK-CMP-100431</t>
  </si>
  <si>
    <t>DBK-CUS-500431</t>
  </si>
  <si>
    <t>DBK-CMP-100432</t>
  </si>
  <si>
    <t>DBK-CUS-500432</t>
  </si>
  <si>
    <t>DBK-CMP-100433</t>
  </si>
  <si>
    <t>DBK-CUS-500433</t>
  </si>
  <si>
    <t>DBK-CMP-100434</t>
  </si>
  <si>
    <t>DBK-CUS-500434</t>
  </si>
  <si>
    <t>DBK-CMP-100435</t>
  </si>
  <si>
    <t>DBK-CUS-500435</t>
  </si>
  <si>
    <t>DBK-CMP-100436</t>
  </si>
  <si>
    <t>DBK-CUS-500436</t>
  </si>
  <si>
    <t>DBK-CMP-100437</t>
  </si>
  <si>
    <t>DBK-CUS-500437</t>
  </si>
  <si>
    <t>2024-05-13</t>
  </si>
  <si>
    <t>DBK-CMP-100438</t>
  </si>
  <si>
    <t>DBK-CUS-500438</t>
  </si>
  <si>
    <t>DBK-CMP-100439</t>
  </si>
  <si>
    <t>DBK-CUS-500439</t>
  </si>
  <si>
    <t>DBK-CMP-100440</t>
  </si>
  <si>
    <t>DBK-CUS-500440</t>
  </si>
  <si>
    <t>DBK-CMP-100441</t>
  </si>
  <si>
    <t>DBK-CUS-500441</t>
  </si>
  <si>
    <t>2024-08-02</t>
  </si>
  <si>
    <t>DBK-CMP-100442</t>
  </si>
  <si>
    <t>DBK-CUS-500442</t>
  </si>
  <si>
    <t>DBK-CMP-100443</t>
  </si>
  <si>
    <t>DBK-CUS-500443</t>
  </si>
  <si>
    <t>DBK-CMP-100444</t>
  </si>
  <si>
    <t>DBK-CUS-500444</t>
  </si>
  <si>
    <t>DBK-CMP-100445</t>
  </si>
  <si>
    <t>DBK-CUS-500445</t>
  </si>
  <si>
    <t>DBK-CMP-100446</t>
  </si>
  <si>
    <t>DBK-CUS-500446</t>
  </si>
  <si>
    <t>2024-07-19</t>
  </si>
  <si>
    <t>2024-07-20</t>
  </si>
  <si>
    <t>DBK-CMP-100447</t>
  </si>
  <si>
    <t>DBK-CUS-500447</t>
  </si>
  <si>
    <t>DBK-CMP-100448</t>
  </si>
  <si>
    <t>DBK-CUS-500448</t>
  </si>
  <si>
    <t>DBK-CMP-100449</t>
  </si>
  <si>
    <t>DBK-CUS-500449</t>
  </si>
  <si>
    <t>DBK-CMP-100450</t>
  </si>
  <si>
    <t>DBK-CUS-500450</t>
  </si>
  <si>
    <t>DBK-CMP-100451</t>
  </si>
  <si>
    <t>DBK-CUS-500451</t>
  </si>
  <si>
    <t>2024-03-02</t>
  </si>
  <si>
    <t>DBK-CMP-100452</t>
  </si>
  <si>
    <t>DBK-CUS-500452</t>
  </si>
  <si>
    <t>DBK-CMP-100453</t>
  </si>
  <si>
    <t>DBK-CUS-500453</t>
  </si>
  <si>
    <t>DBK-CMP-100454</t>
  </si>
  <si>
    <t>DBK-CUS-500454</t>
  </si>
  <si>
    <t>DBK-CMP-100455</t>
  </si>
  <si>
    <t>DBK-CUS-500455</t>
  </si>
  <si>
    <t>DBK-CMP-100456</t>
  </si>
  <si>
    <t>DBK-CUS-500456</t>
  </si>
  <si>
    <t>DBK-CMP-100457</t>
  </si>
  <si>
    <t>DBK-CUS-500457</t>
  </si>
  <si>
    <t>DBK-CMP-100458</t>
  </si>
  <si>
    <t>DBK-CUS-500458</t>
  </si>
  <si>
    <t>DBK-CMP-100459</t>
  </si>
  <si>
    <t>DBK-CUS-500459</t>
  </si>
  <si>
    <t>DBK-CMP-100460</t>
  </si>
  <si>
    <t>DBK-CUS-500460</t>
  </si>
  <si>
    <t>2024-01-04</t>
  </si>
  <si>
    <t>2024-01-05</t>
  </si>
  <si>
    <t>DBK-CMP-100461</t>
  </si>
  <si>
    <t>DBK-CUS-500461</t>
  </si>
  <si>
    <t>DBK-CMP-100462</t>
  </si>
  <si>
    <t>DBK-CUS-500462</t>
  </si>
  <si>
    <t>DBK-CMP-100463</t>
  </si>
  <si>
    <t>DBK-CUS-500463</t>
  </si>
  <si>
    <t>2024-07-10</t>
  </si>
  <si>
    <t>DBK-CMP-100464</t>
  </si>
  <si>
    <t>DBK-CUS-500464</t>
  </si>
  <si>
    <t>DBK-CMP-100465</t>
  </si>
  <si>
    <t>DBK-CUS-500465</t>
  </si>
  <si>
    <t>DBK-CMP-100466</t>
  </si>
  <si>
    <t>DBK-CUS-500466</t>
  </si>
  <si>
    <t>DBK-CMP-100467</t>
  </si>
  <si>
    <t>DBK-CUS-500467</t>
  </si>
  <si>
    <t>2024-04-26</t>
  </si>
  <si>
    <t>DBK-CMP-100468</t>
  </si>
  <si>
    <t>DBK-CUS-500468</t>
  </si>
  <si>
    <t>DBK-CMP-100469</t>
  </si>
  <si>
    <t>DBK-CUS-500469</t>
  </si>
  <si>
    <t>DBK-CMP-100470</t>
  </si>
  <si>
    <t>DBK-CUS-500470</t>
  </si>
  <si>
    <t>DBK-CMP-100471</t>
  </si>
  <si>
    <t>DBK-CUS-500471</t>
  </si>
  <si>
    <t>2024-09-01</t>
  </si>
  <si>
    <t>DBK-CMP-100472</t>
  </si>
  <si>
    <t>DBK-CUS-500472</t>
  </si>
  <si>
    <t>DBK-CMP-100473</t>
  </si>
  <si>
    <t>DBK-CUS-500473</t>
  </si>
  <si>
    <t>DBK-CMP-100474</t>
  </si>
  <si>
    <t>DBK-CUS-500474</t>
  </si>
  <si>
    <t>DBK-CMP-100475</t>
  </si>
  <si>
    <t>DBK-CUS-500475</t>
  </si>
  <si>
    <t>2024-03-09</t>
  </si>
  <si>
    <t>DBK-CMP-100476</t>
  </si>
  <si>
    <t>DBK-CUS-500476</t>
  </si>
  <si>
    <t>2024-11-13</t>
  </si>
  <si>
    <t>DBK-CMP-100477</t>
  </si>
  <si>
    <t>DBK-CUS-500477</t>
  </si>
  <si>
    <t>DBK-CMP-100478</t>
  </si>
  <si>
    <t>DBK-CUS-500478</t>
  </si>
  <si>
    <t>DBK-CMP-100479</t>
  </si>
  <si>
    <t>DBK-CUS-500479</t>
  </si>
  <si>
    <t>2024-04-19</t>
  </si>
  <si>
    <t>DBK-CMP-100480</t>
  </si>
  <si>
    <t>DBK-CUS-500480</t>
  </si>
  <si>
    <t>2024-11-08</t>
  </si>
  <si>
    <t>2024-11-10</t>
  </si>
  <si>
    <t>DBK-CMP-100481</t>
  </si>
  <si>
    <t>DBK-CUS-500481</t>
  </si>
  <si>
    <t>DBK-CMP-100482</t>
  </si>
  <si>
    <t>DBK-CUS-500482</t>
  </si>
  <si>
    <t>DBK-CMP-100483</t>
  </si>
  <si>
    <t>DBK-CUS-500483</t>
  </si>
  <si>
    <t>DBK-CMP-100484</t>
  </si>
  <si>
    <t>DBK-CUS-500484</t>
  </si>
  <si>
    <t>DBK-CMP-100485</t>
  </si>
  <si>
    <t>DBK-CUS-500485</t>
  </si>
  <si>
    <t>DBK-CMP-100486</t>
  </si>
  <si>
    <t>DBK-CUS-500486</t>
  </si>
  <si>
    <t>DBK-CMP-100487</t>
  </si>
  <si>
    <t>DBK-CUS-500487</t>
  </si>
  <si>
    <t>DBK-CMP-100488</t>
  </si>
  <si>
    <t>DBK-CUS-500488</t>
  </si>
  <si>
    <t>DBK-CMP-100489</t>
  </si>
  <si>
    <t>DBK-CUS-500489</t>
  </si>
  <si>
    <t>DBK-CMP-100490</t>
  </si>
  <si>
    <t>DBK-CUS-500490</t>
  </si>
  <si>
    <t>DBK-CMP-100491</t>
  </si>
  <si>
    <t>DBK-CUS-500491</t>
  </si>
  <si>
    <t>DBK-CMP-100492</t>
  </si>
  <si>
    <t>DBK-CUS-500492</t>
  </si>
  <si>
    <t>DBK-CMP-100493</t>
  </si>
  <si>
    <t>DBK-CUS-500493</t>
  </si>
  <si>
    <t>DBK-CMP-100494</t>
  </si>
  <si>
    <t>DBK-CUS-500494</t>
  </si>
  <si>
    <t>2024-06-12</t>
  </si>
  <si>
    <t>2024-06-13</t>
  </si>
  <si>
    <t>DBK-CMP-100495</t>
  </si>
  <si>
    <t>DBK-CUS-500495</t>
  </si>
  <si>
    <t>2024-01-25</t>
  </si>
  <si>
    <t>DBK-CMP-100496</t>
  </si>
  <si>
    <t>DBK-CUS-500496</t>
  </si>
  <si>
    <t>DBK-CMP-100497</t>
  </si>
  <si>
    <t>DBK-CUS-500497</t>
  </si>
  <si>
    <t>DBK-CMP-100498</t>
  </si>
  <si>
    <t>DBK-CUS-500498</t>
  </si>
  <si>
    <t>2024-01-11</t>
  </si>
  <si>
    <t>DBK-CMP-100499</t>
  </si>
  <si>
    <t>DBK-CUS-500499</t>
  </si>
  <si>
    <t>DBK-CMP-100500</t>
  </si>
  <si>
    <t>DBK-CUS-500500</t>
  </si>
  <si>
    <t>DBK-CMP-100501</t>
  </si>
  <si>
    <t>DBK-CUS-500501</t>
  </si>
  <si>
    <t>DBK-CMP-100502</t>
  </si>
  <si>
    <t>DBK-CUS-500502</t>
  </si>
  <si>
    <t>DBK-CMP-100503</t>
  </si>
  <si>
    <t>DBK-CUS-500503</t>
  </si>
  <si>
    <t>DBK-CMP-100504</t>
  </si>
  <si>
    <t>DBK-CUS-500504</t>
  </si>
  <si>
    <t>DBK-CMP-100505</t>
  </si>
  <si>
    <t>DBK-CUS-500505</t>
  </si>
  <si>
    <t>DBK-CMP-100506</t>
  </si>
  <si>
    <t>DBK-CUS-500506</t>
  </si>
  <si>
    <t>DBK-CMP-100507</t>
  </si>
  <si>
    <t>DBK-CUS-500507</t>
  </si>
  <si>
    <t>2024-06-20</t>
  </si>
  <si>
    <t>DBK-CMP-100508</t>
  </si>
  <si>
    <t>DBK-CUS-500508</t>
  </si>
  <si>
    <t>DBK-CMP-100509</t>
  </si>
  <si>
    <t>DBK-CUS-500509</t>
  </si>
  <si>
    <t>DBK-CMP-100510</t>
  </si>
  <si>
    <t>DBK-CUS-500510</t>
  </si>
  <si>
    <t>DBK-CMP-100511</t>
  </si>
  <si>
    <t>DBK-CUS-500511</t>
  </si>
  <si>
    <t>DBK-CMP-100512</t>
  </si>
  <si>
    <t>DBK-CUS-500512</t>
  </si>
  <si>
    <t>DBK-CMP-100513</t>
  </si>
  <si>
    <t>DBK-CUS-500513</t>
  </si>
  <si>
    <t>DBK-CMP-100514</t>
  </si>
  <si>
    <t>DBK-CUS-500514</t>
  </si>
  <si>
    <t>DBK-CMP-100515</t>
  </si>
  <si>
    <t>DBK-CUS-500515</t>
  </si>
  <si>
    <t>DBK-CMP-100516</t>
  </si>
  <si>
    <t>DBK-CUS-500516</t>
  </si>
  <si>
    <t>DBK-CMP-100517</t>
  </si>
  <si>
    <t>DBK-CUS-500517</t>
  </si>
  <si>
    <t>2024-05-21</t>
  </si>
  <si>
    <t>DBK-CMP-100518</t>
  </si>
  <si>
    <t>DBK-CUS-500518</t>
  </si>
  <si>
    <t>DBK-CMP-100519</t>
  </si>
  <si>
    <t>DBK-CUS-500519</t>
  </si>
  <si>
    <t>DBK-CMP-100520</t>
  </si>
  <si>
    <t>DBK-CUS-500520</t>
  </si>
  <si>
    <t>DBK-CMP-100521</t>
  </si>
  <si>
    <t>DBK-CUS-500521</t>
  </si>
  <si>
    <t>DBK-CMP-100522</t>
  </si>
  <si>
    <t>DBK-CUS-500522</t>
  </si>
  <si>
    <t>DBK-CMP-100523</t>
  </si>
  <si>
    <t>DBK-CUS-500523</t>
  </si>
  <si>
    <t>DBK-CMP-100524</t>
  </si>
  <si>
    <t>DBK-CUS-500524</t>
  </si>
  <si>
    <t>DBK-CMP-100525</t>
  </si>
  <si>
    <t>DBK-CUS-500525</t>
  </si>
  <si>
    <t>DBK-CMP-100526</t>
  </si>
  <si>
    <t>DBK-CUS-500526</t>
  </si>
  <si>
    <t>DBK-CMP-100527</t>
  </si>
  <si>
    <t>DBK-CUS-500527</t>
  </si>
  <si>
    <t>DBK-CMP-100528</t>
  </si>
  <si>
    <t>DBK-CUS-500528</t>
  </si>
  <si>
    <t>DBK-CMP-100529</t>
  </si>
  <si>
    <t>DBK-CUS-500529</t>
  </si>
  <si>
    <t>DBK-CMP-100530</t>
  </si>
  <si>
    <t>DBK-CUS-500530</t>
  </si>
  <si>
    <t>2024-04-30</t>
  </si>
  <si>
    <t>DBK-CMP-100531</t>
  </si>
  <si>
    <t>DBK-CUS-500531</t>
  </si>
  <si>
    <t>2024-06-23</t>
  </si>
  <si>
    <t>DBK-CMP-100532</t>
  </si>
  <si>
    <t>DBK-CUS-500532</t>
  </si>
  <si>
    <t>DBK-CMP-100533</t>
  </si>
  <si>
    <t>DBK-CUS-500533</t>
  </si>
  <si>
    <t>DBK-CMP-100534</t>
  </si>
  <si>
    <t>DBK-CUS-500534</t>
  </si>
  <si>
    <t>2024-02-17</t>
  </si>
  <si>
    <t>DBK-CMP-100535</t>
  </si>
  <si>
    <t>DBK-CUS-500535</t>
  </si>
  <si>
    <t>DBK-CMP-100536</t>
  </si>
  <si>
    <t>DBK-CUS-500536</t>
  </si>
  <si>
    <t>2024-06-14</t>
  </si>
  <si>
    <t>DBK-CMP-100537</t>
  </si>
  <si>
    <t>DBK-CUS-500537</t>
  </si>
  <si>
    <t>DBK-CMP-100538</t>
  </si>
  <si>
    <t>DBK-CUS-500538</t>
  </si>
  <si>
    <t>DBK-CMP-100539</t>
  </si>
  <si>
    <t>DBK-CUS-500539</t>
  </si>
  <si>
    <t>DBK-CMP-100540</t>
  </si>
  <si>
    <t>DBK-CUS-500540</t>
  </si>
  <si>
    <t>2024-12-16</t>
  </si>
  <si>
    <t>DBK-CMP-100541</t>
  </si>
  <si>
    <t>DBK-CUS-500541</t>
  </si>
  <si>
    <t>DBK-CMP-100542</t>
  </si>
  <si>
    <t>DBK-CUS-500542</t>
  </si>
  <si>
    <t>DBK-CMP-100543</t>
  </si>
  <si>
    <t>DBK-CUS-500543</t>
  </si>
  <si>
    <t>DBK-CMP-100544</t>
  </si>
  <si>
    <t>DBK-CUS-500544</t>
  </si>
  <si>
    <t>2024-06-01</t>
  </si>
  <si>
    <t>2024-06-02</t>
  </si>
  <si>
    <t>DBK-CMP-100545</t>
  </si>
  <si>
    <t>DBK-CUS-500545</t>
  </si>
  <si>
    <t>DBK-CMP-100546</t>
  </si>
  <si>
    <t>DBK-CUS-500546</t>
  </si>
  <si>
    <t>DBK-CMP-100547</t>
  </si>
  <si>
    <t>DBK-CUS-500547</t>
  </si>
  <si>
    <t>DBK-CMP-100548</t>
  </si>
  <si>
    <t>DBK-CUS-500548</t>
  </si>
  <si>
    <t>DBK-CMP-100549</t>
  </si>
  <si>
    <t>DBK-CUS-500549</t>
  </si>
  <si>
    <t>DBK-CMP-100550</t>
  </si>
  <si>
    <t>DBK-CUS-500550</t>
  </si>
  <si>
    <t>2024-11-28</t>
  </si>
  <si>
    <t>DBK-CMP-100551</t>
  </si>
  <si>
    <t>DBK-CUS-500551</t>
  </si>
  <si>
    <t>DBK-CMP-100552</t>
  </si>
  <si>
    <t>DBK-CUS-500552</t>
  </si>
  <si>
    <t>DBK-CMP-100553</t>
  </si>
  <si>
    <t>DBK-CUS-500553</t>
  </si>
  <si>
    <t>DBK-CMP-100554</t>
  </si>
  <si>
    <t>DBK-CUS-500554</t>
  </si>
  <si>
    <t>DBK-CMP-100555</t>
  </si>
  <si>
    <t>DBK-CUS-500555</t>
  </si>
  <si>
    <t>DBK-CMP-100556</t>
  </si>
  <si>
    <t>DBK-CUS-500556</t>
  </si>
  <si>
    <t>DBK-CMP-100557</t>
  </si>
  <si>
    <t>DBK-CUS-500557</t>
  </si>
  <si>
    <t>2024-02-08</t>
  </si>
  <si>
    <t>DBK-CMP-100558</t>
  </si>
  <si>
    <t>DBK-CUS-500558</t>
  </si>
  <si>
    <t>DBK-CMP-100559</t>
  </si>
  <si>
    <t>DBK-CUS-500559</t>
  </si>
  <si>
    <t>DBK-CMP-100560</t>
  </si>
  <si>
    <t>DBK-CUS-500560</t>
  </si>
  <si>
    <t>2024-07-24</t>
  </si>
  <si>
    <t>DBK-CMP-100561</t>
  </si>
  <si>
    <t>DBK-CUS-500561</t>
  </si>
  <si>
    <t>DBK-CMP-100562</t>
  </si>
  <si>
    <t>DBK-CUS-500562</t>
  </si>
  <si>
    <t>DBK-CMP-100563</t>
  </si>
  <si>
    <t>DBK-CUS-500563</t>
  </si>
  <si>
    <t>DBK-CMP-100564</t>
  </si>
  <si>
    <t>DBK-CUS-500564</t>
  </si>
  <si>
    <t>DBK-CMP-100565</t>
  </si>
  <si>
    <t>DBK-CUS-500565</t>
  </si>
  <si>
    <t>DBK-CMP-100566</t>
  </si>
  <si>
    <t>DBK-CUS-500566</t>
  </si>
  <si>
    <t>DBK-CMP-100567</t>
  </si>
  <si>
    <t>DBK-CUS-500567</t>
  </si>
  <si>
    <t>2024-06-04</t>
  </si>
  <si>
    <t>DBK-CMP-100568</t>
  </si>
  <si>
    <t>DBK-CUS-500568</t>
  </si>
  <si>
    <t>DBK-CMP-100569</t>
  </si>
  <si>
    <t>DBK-CUS-500569</t>
  </si>
  <si>
    <t>DBK-CMP-100570</t>
  </si>
  <si>
    <t>DBK-CUS-500570</t>
  </si>
  <si>
    <t>2024-04-08</t>
  </si>
  <si>
    <t>DBK-CMP-100571</t>
  </si>
  <si>
    <t>DBK-CUS-500571</t>
  </si>
  <si>
    <t>2024-06-16</t>
  </si>
  <si>
    <t>DBK-CMP-100572</t>
  </si>
  <si>
    <t>DBK-CUS-500572</t>
  </si>
  <si>
    <t>DBK-CMP-100573</t>
  </si>
  <si>
    <t>DBK-CUS-500573</t>
  </si>
  <si>
    <t>DBK-CMP-100574</t>
  </si>
  <si>
    <t>DBK-CUS-500574</t>
  </si>
  <si>
    <t>2024-04-02</t>
  </si>
  <si>
    <t>DBK-CMP-100575</t>
  </si>
  <si>
    <t>DBK-CUS-500575</t>
  </si>
  <si>
    <t>DBK-CMP-100576</t>
  </si>
  <si>
    <t>DBK-CUS-500576</t>
  </si>
  <si>
    <t>2024-10-19</t>
  </si>
  <si>
    <t>DBK-CMP-100577</t>
  </si>
  <si>
    <t>DBK-CUS-500577</t>
  </si>
  <si>
    <t>DBK-CMP-100578</t>
  </si>
  <si>
    <t>DBK-CUS-500578</t>
  </si>
  <si>
    <t>DBK-CMP-100579</t>
  </si>
  <si>
    <t>DBK-CUS-500579</t>
  </si>
  <si>
    <t>DBK-CMP-100580</t>
  </si>
  <si>
    <t>DBK-CUS-500580</t>
  </si>
  <si>
    <t>DBK-CMP-100581</t>
  </si>
  <si>
    <t>DBK-CUS-500581</t>
  </si>
  <si>
    <t>DBK-CMP-100582</t>
  </si>
  <si>
    <t>DBK-CUS-500582</t>
  </si>
  <si>
    <t>DBK-CMP-100583</t>
  </si>
  <si>
    <t>DBK-CUS-500583</t>
  </si>
  <si>
    <t>DBK-CMP-100584</t>
  </si>
  <si>
    <t>DBK-CUS-500584</t>
  </si>
  <si>
    <t>DBK-CMP-100585</t>
  </si>
  <si>
    <t>DBK-CUS-500585</t>
  </si>
  <si>
    <t>DBK-CMP-100586</t>
  </si>
  <si>
    <t>DBK-CUS-500586</t>
  </si>
  <si>
    <t>DBK-CMP-100587</t>
  </si>
  <si>
    <t>DBK-CUS-500587</t>
  </si>
  <si>
    <t>DBK-CMP-100588</t>
  </si>
  <si>
    <t>DBK-CUS-500588</t>
  </si>
  <si>
    <t>DBK-CMP-100589</t>
  </si>
  <si>
    <t>DBK-CUS-500589</t>
  </si>
  <si>
    <t>2024-01-28</t>
  </si>
  <si>
    <t>DBK-CMP-100590</t>
  </si>
  <si>
    <t>DBK-CUS-500590</t>
  </si>
  <si>
    <t>DBK-CMP-100591</t>
  </si>
  <si>
    <t>DBK-CUS-500591</t>
  </si>
  <si>
    <t>DBK-CMP-100592</t>
  </si>
  <si>
    <t>DBK-CUS-500592</t>
  </si>
  <si>
    <t>DBK-CMP-100593</t>
  </si>
  <si>
    <t>DBK-CUS-500593</t>
  </si>
  <si>
    <t>DBK-CMP-100594</t>
  </si>
  <si>
    <t>DBK-CUS-500594</t>
  </si>
  <si>
    <t>DBK-CMP-100595</t>
  </si>
  <si>
    <t>DBK-CUS-500595</t>
  </si>
  <si>
    <t>DBK-CMP-100596</t>
  </si>
  <si>
    <t>DBK-CUS-500596</t>
  </si>
  <si>
    <t>DBK-CMP-100597</t>
  </si>
  <si>
    <t>DBK-CUS-500597</t>
  </si>
  <si>
    <t>DBK-CMP-100598</t>
  </si>
  <si>
    <t>DBK-CUS-500598</t>
  </si>
  <si>
    <t>DBK-CMP-100599</t>
  </si>
  <si>
    <t>DBK-CUS-500599</t>
  </si>
  <si>
    <t>DBK-CMP-100600</t>
  </si>
  <si>
    <t>DBK-CUS-500600</t>
  </si>
  <si>
    <t>DBK-CMP-100601</t>
  </si>
  <si>
    <t>DBK-CUS-500601</t>
  </si>
  <si>
    <t>DBK-CMP-100602</t>
  </si>
  <si>
    <t>DBK-CUS-500602</t>
  </si>
  <si>
    <t>2024-09-21</t>
  </si>
  <si>
    <t>DBK-CMP-100603</t>
  </si>
  <si>
    <t>DBK-CUS-500603</t>
  </si>
  <si>
    <t>DBK-CMP-100604</t>
  </si>
  <si>
    <t>DBK-CUS-500604</t>
  </si>
  <si>
    <t>DBK-CMP-100605</t>
  </si>
  <si>
    <t>DBK-CUS-500605</t>
  </si>
  <si>
    <t>DBK-CMP-100606</t>
  </si>
  <si>
    <t>DBK-CUS-500606</t>
  </si>
  <si>
    <t>DBK-CMP-100607</t>
  </si>
  <si>
    <t>DBK-CUS-500607</t>
  </si>
  <si>
    <t>DBK-CMP-100608</t>
  </si>
  <si>
    <t>DBK-CUS-500608</t>
  </si>
  <si>
    <t>DBK-CMP-100609</t>
  </si>
  <si>
    <t>DBK-CUS-500609</t>
  </si>
  <si>
    <t>DBK-CMP-100610</t>
  </si>
  <si>
    <t>DBK-CUS-500610</t>
  </si>
  <si>
    <t>DBK-CMP-100611</t>
  </si>
  <si>
    <t>DBK-CUS-500611</t>
  </si>
  <si>
    <t>DBK-CMP-100612</t>
  </si>
  <si>
    <t>DBK-CUS-500612</t>
  </si>
  <si>
    <t>2024-03-04</t>
  </si>
  <si>
    <t>DBK-CMP-100613</t>
  </si>
  <si>
    <t>DBK-CUS-500613</t>
  </si>
  <si>
    <t>DBK-CMP-100614</t>
  </si>
  <si>
    <t>DBK-CUS-500614</t>
  </si>
  <si>
    <t>DBK-CMP-100615</t>
  </si>
  <si>
    <t>DBK-CUS-500615</t>
  </si>
  <si>
    <t>DBK-CMP-100616</t>
  </si>
  <si>
    <t>DBK-CUS-500616</t>
  </si>
  <si>
    <t>DBK-CMP-100617</t>
  </si>
  <si>
    <t>DBK-CUS-500617</t>
  </si>
  <si>
    <t>DBK-CMP-100618</t>
  </si>
  <si>
    <t>DBK-CUS-500618</t>
  </si>
  <si>
    <t>DBK-CMP-100619</t>
  </si>
  <si>
    <t>DBK-CUS-500619</t>
  </si>
  <si>
    <t>DBK-CMP-100620</t>
  </si>
  <si>
    <t>DBK-CUS-500620</t>
  </si>
  <si>
    <t>DBK-CMP-100621</t>
  </si>
  <si>
    <t>DBK-CUS-500621</t>
  </si>
  <si>
    <t>DBK-CMP-100622</t>
  </si>
  <si>
    <t>DBK-CUS-500622</t>
  </si>
  <si>
    <t>DBK-CMP-100623</t>
  </si>
  <si>
    <t>DBK-CUS-500623</t>
  </si>
  <si>
    <t>DBK-CMP-100624</t>
  </si>
  <si>
    <t>DBK-CUS-500624</t>
  </si>
  <si>
    <t>DBK-CMP-100625</t>
  </si>
  <si>
    <t>DBK-CUS-500625</t>
  </si>
  <si>
    <t>DBK-CMP-100626</t>
  </si>
  <si>
    <t>DBK-CUS-500626</t>
  </si>
  <si>
    <t>DBK-CMP-100627</t>
  </si>
  <si>
    <t>DBK-CUS-500627</t>
  </si>
  <si>
    <t>DBK-CMP-100628</t>
  </si>
  <si>
    <t>DBK-CUS-500628</t>
  </si>
  <si>
    <t>DBK-CMP-100629</t>
  </si>
  <si>
    <t>DBK-CUS-500629</t>
  </si>
  <si>
    <t>DBK-CMP-100630</t>
  </si>
  <si>
    <t>DBK-CUS-500630</t>
  </si>
  <si>
    <t>2024-12-21</t>
  </si>
  <si>
    <t>DBK-CMP-100631</t>
  </si>
  <si>
    <t>DBK-CUS-500631</t>
  </si>
  <si>
    <t>DBK-CMP-100632</t>
  </si>
  <si>
    <t>DBK-CUS-500632</t>
  </si>
  <si>
    <t>DBK-CMP-100633</t>
  </si>
  <si>
    <t>DBK-CUS-500633</t>
  </si>
  <si>
    <t>2024-01-30</t>
  </si>
  <si>
    <t>DBK-CMP-100634</t>
  </si>
  <si>
    <t>DBK-CUS-500634</t>
  </si>
  <si>
    <t>DBK-CMP-100635</t>
  </si>
  <si>
    <t>DBK-CUS-500635</t>
  </si>
  <si>
    <t>DBK-CMP-100636</t>
  </si>
  <si>
    <t>DBK-CUS-500636</t>
  </si>
  <si>
    <t>DBK-CMP-100637</t>
  </si>
  <si>
    <t>DBK-CUS-500637</t>
  </si>
  <si>
    <t>DBK-CMP-100638</t>
  </si>
  <si>
    <t>DBK-CUS-500638</t>
  </si>
  <si>
    <t>DBK-CMP-100639</t>
  </si>
  <si>
    <t>DBK-CUS-500639</t>
  </si>
  <si>
    <t>DBK-CMP-100640</t>
  </si>
  <si>
    <t>DBK-CUS-500640</t>
  </si>
  <si>
    <t>DBK-CMP-100641</t>
  </si>
  <si>
    <t>DBK-CUS-500641</t>
  </si>
  <si>
    <t>2024-05-23</t>
  </si>
  <si>
    <t>DBK-CMP-100642</t>
  </si>
  <si>
    <t>DBK-CUS-500642</t>
  </si>
  <si>
    <t>DBK-CMP-100643</t>
  </si>
  <si>
    <t>DBK-CUS-500643</t>
  </si>
  <si>
    <t>DBK-CMP-100644</t>
  </si>
  <si>
    <t>DBK-CUS-500644</t>
  </si>
  <si>
    <t>DBK-CMP-100645</t>
  </si>
  <si>
    <t>DBK-CUS-500645</t>
  </si>
  <si>
    <t>DBK-CMP-100646</t>
  </si>
  <si>
    <t>DBK-CUS-500646</t>
  </si>
  <si>
    <t>DBK-CMP-100647</t>
  </si>
  <si>
    <t>DBK-CUS-500647</t>
  </si>
  <si>
    <t>DBK-CMP-100648</t>
  </si>
  <si>
    <t>DBK-CUS-500648</t>
  </si>
  <si>
    <t>DBK-CMP-100649</t>
  </si>
  <si>
    <t>DBK-CUS-500649</t>
  </si>
  <si>
    <t>DBK-CMP-100650</t>
  </si>
  <si>
    <t>DBK-CUS-500650</t>
  </si>
  <si>
    <t>DBK-CMP-100651</t>
  </si>
  <si>
    <t>DBK-CUS-500651</t>
  </si>
  <si>
    <t>DBK-CMP-100652</t>
  </si>
  <si>
    <t>DBK-CUS-500652</t>
  </si>
  <si>
    <t>2024-05-28</t>
  </si>
  <si>
    <t>DBK-CMP-100653</t>
  </si>
  <si>
    <t>DBK-CUS-500653</t>
  </si>
  <si>
    <t>DBK-CMP-100654</t>
  </si>
  <si>
    <t>DBK-CUS-500654</t>
  </si>
  <si>
    <t>DBK-CMP-100655</t>
  </si>
  <si>
    <t>DBK-CUS-500655</t>
  </si>
  <si>
    <t>2024-07-07</t>
  </si>
  <si>
    <t>DBK-CMP-100656</t>
  </si>
  <si>
    <t>DBK-CUS-500656</t>
  </si>
  <si>
    <t>DBK-CMP-100657</t>
  </si>
  <si>
    <t>DBK-CUS-500657</t>
  </si>
  <si>
    <t>2024-09-14</t>
  </si>
  <si>
    <t>DBK-CMP-100658</t>
  </si>
  <si>
    <t>DBK-CUS-500658</t>
  </si>
  <si>
    <t>DBK-CMP-100659</t>
  </si>
  <si>
    <t>DBK-CUS-500659</t>
  </si>
  <si>
    <t>DBK-CMP-100660</t>
  </si>
  <si>
    <t>DBK-CUS-500660</t>
  </si>
  <si>
    <t>DBK-CMP-100661</t>
  </si>
  <si>
    <t>DBK-CUS-500661</t>
  </si>
  <si>
    <t>DBK-CMP-100662</t>
  </si>
  <si>
    <t>DBK-CUS-500662</t>
  </si>
  <si>
    <t>DBK-CMP-100663</t>
  </si>
  <si>
    <t>DBK-CUS-500663</t>
  </si>
  <si>
    <t>DBK-CMP-100664</t>
  </si>
  <si>
    <t>DBK-CUS-500664</t>
  </si>
  <si>
    <t>DBK-CMP-100665</t>
  </si>
  <si>
    <t>DBK-CUS-500665</t>
  </si>
  <si>
    <t>DBK-CMP-100666</t>
  </si>
  <si>
    <t>DBK-CUS-500666</t>
  </si>
  <si>
    <t>DBK-CMP-100667</t>
  </si>
  <si>
    <t>DBK-CUS-500667</t>
  </si>
  <si>
    <t>2024-10-03</t>
  </si>
  <si>
    <t>2024-10-05</t>
  </si>
  <si>
    <t>DBK-CMP-100668</t>
  </si>
  <si>
    <t>DBK-CUS-500668</t>
  </si>
  <si>
    <t>DBK-CMP-100669</t>
  </si>
  <si>
    <t>DBK-CUS-500669</t>
  </si>
  <si>
    <t>DBK-CMP-100670</t>
  </si>
  <si>
    <t>DBK-CUS-500670</t>
  </si>
  <si>
    <t>DBK-CMP-100671</t>
  </si>
  <si>
    <t>DBK-CUS-500671</t>
  </si>
  <si>
    <t>DBK-CMP-100672</t>
  </si>
  <si>
    <t>DBK-CUS-500672</t>
  </si>
  <si>
    <t>DBK-CMP-100673</t>
  </si>
  <si>
    <t>DBK-CUS-500673</t>
  </si>
  <si>
    <t>DBK-CMP-100674</t>
  </si>
  <si>
    <t>DBK-CUS-500674</t>
  </si>
  <si>
    <t>DBK-CMP-100675</t>
  </si>
  <si>
    <t>DBK-CUS-500675</t>
  </si>
  <si>
    <t>2024-01-02</t>
  </si>
  <si>
    <t>DBK-CMP-100676</t>
  </si>
  <si>
    <t>DBK-CUS-500676</t>
  </si>
  <si>
    <t>DBK-CMP-100677</t>
  </si>
  <si>
    <t>DBK-CUS-500677</t>
  </si>
  <si>
    <t>DBK-CMP-100678</t>
  </si>
  <si>
    <t>DBK-CUS-500678</t>
  </si>
  <si>
    <t>DBK-CMP-100679</t>
  </si>
  <si>
    <t>DBK-CUS-500679</t>
  </si>
  <si>
    <t>DBK-CMP-100680</t>
  </si>
  <si>
    <t>DBK-CUS-500680</t>
  </si>
  <si>
    <t>DBK-CMP-100681</t>
  </si>
  <si>
    <t>DBK-CUS-500681</t>
  </si>
  <si>
    <t>DBK-CMP-100682</t>
  </si>
  <si>
    <t>DBK-CUS-500682</t>
  </si>
  <si>
    <t>DBK-CMP-100683</t>
  </si>
  <si>
    <t>DBK-CUS-500683</t>
  </si>
  <si>
    <t>DBK-CMP-100684</t>
  </si>
  <si>
    <t>DBK-CUS-500684</t>
  </si>
  <si>
    <t>DBK-CMP-100685</t>
  </si>
  <si>
    <t>DBK-CUS-500685</t>
  </si>
  <si>
    <t>2024-09-05</t>
  </si>
  <si>
    <t>DBK-CMP-100686</t>
  </si>
  <si>
    <t>DBK-CUS-500686</t>
  </si>
  <si>
    <t>DBK-CMP-100687</t>
  </si>
  <si>
    <t>DBK-CUS-500687</t>
  </si>
  <si>
    <t>DBK-CMP-100688</t>
  </si>
  <si>
    <t>DBK-CUS-500688</t>
  </si>
  <si>
    <t>DBK-CMP-100689</t>
  </si>
  <si>
    <t>DBK-CUS-500689</t>
  </si>
  <si>
    <t>2024-04-25</t>
  </si>
  <si>
    <t>DBK-CMP-100690</t>
  </si>
  <si>
    <t>DBK-CUS-500690</t>
  </si>
  <si>
    <t>DBK-CMP-100691</t>
  </si>
  <si>
    <t>DBK-CUS-500691</t>
  </si>
  <si>
    <t>DBK-CMP-100692</t>
  </si>
  <si>
    <t>DBK-CUS-500692</t>
  </si>
  <si>
    <t>2024-07-18</t>
  </si>
  <si>
    <t>DBK-CMP-100693</t>
  </si>
  <si>
    <t>DBK-CUS-500693</t>
  </si>
  <si>
    <t>DBK-CMP-100694</t>
  </si>
  <si>
    <t>DBK-CUS-500694</t>
  </si>
  <si>
    <t>DBK-CMP-100695</t>
  </si>
  <si>
    <t>DBK-CUS-500695</t>
  </si>
  <si>
    <t>DBK-CMP-100696</t>
  </si>
  <si>
    <t>DBK-CUS-500696</t>
  </si>
  <si>
    <t>DBK-CMP-100697</t>
  </si>
  <si>
    <t>DBK-CUS-500697</t>
  </si>
  <si>
    <t>DBK-CMP-100698</t>
  </si>
  <si>
    <t>DBK-CUS-500698</t>
  </si>
  <si>
    <t>DBK-CMP-100699</t>
  </si>
  <si>
    <t>DBK-CUS-500699</t>
  </si>
  <si>
    <t>DBK-CMP-100700</t>
  </si>
  <si>
    <t>DBK-CUS-500700</t>
  </si>
  <si>
    <t>DBK-CMP-100701</t>
  </si>
  <si>
    <t>DBK-CUS-500701</t>
  </si>
  <si>
    <t>DBK-CMP-100702</t>
  </si>
  <si>
    <t>DBK-CUS-500702</t>
  </si>
  <si>
    <t>DBK-CMP-100703</t>
  </si>
  <si>
    <t>DBK-CUS-500703</t>
  </si>
  <si>
    <t>DBK-CMP-100704</t>
  </si>
  <si>
    <t>DBK-CUS-500704</t>
  </si>
  <si>
    <t>2024-09-07</t>
  </si>
  <si>
    <t>DBK-CMP-100705</t>
  </si>
  <si>
    <t>DBK-CUS-500705</t>
  </si>
  <si>
    <t>DBK-CMP-100706</t>
  </si>
  <si>
    <t>DBK-CUS-500706</t>
  </si>
  <si>
    <t>DBK-CMP-100707</t>
  </si>
  <si>
    <t>DBK-CUS-500707</t>
  </si>
  <si>
    <t>2024-04-01</t>
  </si>
  <si>
    <t>DBK-CMP-100708</t>
  </si>
  <si>
    <t>DBK-CUS-500708</t>
  </si>
  <si>
    <t>DBK-CMP-100709</t>
  </si>
  <si>
    <t>DBK-CUS-500709</t>
  </si>
  <si>
    <t>DBK-CMP-100710</t>
  </si>
  <si>
    <t>DBK-CUS-500710</t>
  </si>
  <si>
    <t>DBK-CMP-100711</t>
  </si>
  <si>
    <t>DBK-CUS-500711</t>
  </si>
  <si>
    <t>DBK-CMP-100712</t>
  </si>
  <si>
    <t>DBK-CUS-500712</t>
  </si>
  <si>
    <t>DBK-CMP-100713</t>
  </si>
  <si>
    <t>DBK-CUS-500713</t>
  </si>
  <si>
    <t>DBK-CMP-100714</t>
  </si>
  <si>
    <t>DBK-CUS-500714</t>
  </si>
  <si>
    <t>DBK-CMP-100715</t>
  </si>
  <si>
    <t>DBK-CUS-500715</t>
  </si>
  <si>
    <t>DBK-CMP-100716</t>
  </si>
  <si>
    <t>DBK-CUS-500716</t>
  </si>
  <si>
    <t>DBK-CMP-100717</t>
  </si>
  <si>
    <t>DBK-CUS-500717</t>
  </si>
  <si>
    <t>DBK-CMP-100718</t>
  </si>
  <si>
    <t>DBK-CUS-500718</t>
  </si>
  <si>
    <t>DBK-CMP-100719</t>
  </si>
  <si>
    <t>DBK-CUS-500719</t>
  </si>
  <si>
    <t>DBK-CMP-100720</t>
  </si>
  <si>
    <t>DBK-CUS-500720</t>
  </si>
  <si>
    <t>DBK-CMP-100721</t>
  </si>
  <si>
    <t>DBK-CUS-500721</t>
  </si>
  <si>
    <t>DBK-CMP-100722</t>
  </si>
  <si>
    <t>DBK-CUS-500722</t>
  </si>
  <si>
    <t>DBK-CMP-100723</t>
  </si>
  <si>
    <t>DBK-CUS-500723</t>
  </si>
  <si>
    <t>DBK-CMP-100724</t>
  </si>
  <si>
    <t>DBK-CUS-500724</t>
  </si>
  <si>
    <t>DBK-CMP-100725</t>
  </si>
  <si>
    <t>DBK-CUS-500725</t>
  </si>
  <si>
    <t>DBK-CMP-100726</t>
  </si>
  <si>
    <t>DBK-CUS-500726</t>
  </si>
  <si>
    <t>DBK-CMP-100727</t>
  </si>
  <si>
    <t>DBK-CUS-500727</t>
  </si>
  <si>
    <t>DBK-CMP-100728</t>
  </si>
  <si>
    <t>DBK-CUS-500728</t>
  </si>
  <si>
    <t>DBK-CMP-100729</t>
  </si>
  <si>
    <t>DBK-CUS-500729</t>
  </si>
  <si>
    <t>DBK-CMP-100730</t>
  </si>
  <si>
    <t>DBK-CUS-500730</t>
  </si>
  <si>
    <t>DBK-CMP-100731</t>
  </si>
  <si>
    <t>DBK-CUS-500731</t>
  </si>
  <si>
    <t>DBK-CMP-100732</t>
  </si>
  <si>
    <t>DBK-CUS-500732</t>
  </si>
  <si>
    <t>DBK-CMP-100733</t>
  </si>
  <si>
    <t>DBK-CUS-500733</t>
  </si>
  <si>
    <t>DBK-CMP-100734</t>
  </si>
  <si>
    <t>DBK-CUS-500734</t>
  </si>
  <si>
    <t>DBK-CMP-100735</t>
  </si>
  <si>
    <t>DBK-CUS-500735</t>
  </si>
  <si>
    <t>DBK-CMP-100736</t>
  </si>
  <si>
    <t>DBK-CUS-500736</t>
  </si>
  <si>
    <t>DBK-CMP-100737</t>
  </si>
  <si>
    <t>DBK-CUS-500737</t>
  </si>
  <si>
    <t>DBK-CMP-100738</t>
  </si>
  <si>
    <t>DBK-CUS-500738</t>
  </si>
  <si>
    <t>DBK-CMP-100739</t>
  </si>
  <si>
    <t>DBK-CUS-500739</t>
  </si>
  <si>
    <t>DBK-CMP-100740</t>
  </si>
  <si>
    <t>DBK-CUS-500740</t>
  </si>
  <si>
    <t>DBK-CMP-100741</t>
  </si>
  <si>
    <t>DBK-CUS-500741</t>
  </si>
  <si>
    <t>2024-12-26</t>
  </si>
  <si>
    <t>DBK-CMP-100742</t>
  </si>
  <si>
    <t>DBK-CUS-500742</t>
  </si>
  <si>
    <t>DBK-CMP-100743</t>
  </si>
  <si>
    <t>DBK-CUS-500743</t>
  </si>
  <si>
    <t>DBK-CMP-100744</t>
  </si>
  <si>
    <t>DBK-CUS-500744</t>
  </si>
  <si>
    <t>DBK-CMP-100745</t>
  </si>
  <si>
    <t>DBK-CUS-500745</t>
  </si>
  <si>
    <t>DBK-CMP-100746</t>
  </si>
  <si>
    <t>DBK-CUS-500746</t>
  </si>
  <si>
    <t>DBK-CMP-100747</t>
  </si>
  <si>
    <t>DBK-CUS-500747</t>
  </si>
  <si>
    <t>DBK-CMP-100748</t>
  </si>
  <si>
    <t>DBK-CUS-500748</t>
  </si>
  <si>
    <t>DBK-CMP-100749</t>
  </si>
  <si>
    <t>DBK-CUS-500749</t>
  </si>
  <si>
    <t>2024-05-03</t>
  </si>
  <si>
    <t>DBK-CMP-100750</t>
  </si>
  <si>
    <t>DBK-CUS-500750</t>
  </si>
  <si>
    <t>DBK-CMP-100751</t>
  </si>
  <si>
    <t>DBK-CUS-500751</t>
  </si>
  <si>
    <t>DBK-CMP-100752</t>
  </si>
  <si>
    <t>DBK-CUS-500752</t>
  </si>
  <si>
    <t>DBK-CMP-100753</t>
  </si>
  <si>
    <t>DBK-CUS-500753</t>
  </si>
  <si>
    <t>DBK-CMP-100754</t>
  </si>
  <si>
    <t>DBK-CUS-500754</t>
  </si>
  <si>
    <t>DBK-CMP-100755</t>
  </si>
  <si>
    <t>DBK-CUS-500755</t>
  </si>
  <si>
    <t>DBK-CMP-100756</t>
  </si>
  <si>
    <t>DBK-CUS-500756</t>
  </si>
  <si>
    <t>2024-11-30</t>
  </si>
  <si>
    <t>DBK-CMP-100757</t>
  </si>
  <si>
    <t>DBK-CUS-500757</t>
  </si>
  <si>
    <t>DBK-CMP-100758</t>
  </si>
  <si>
    <t>DBK-CUS-500758</t>
  </si>
  <si>
    <t>DBK-CMP-100759</t>
  </si>
  <si>
    <t>DBK-CUS-500759</t>
  </si>
  <si>
    <t>DBK-CMP-100760</t>
  </si>
  <si>
    <t>DBK-CUS-500760</t>
  </si>
  <si>
    <t>DBK-CMP-100761</t>
  </si>
  <si>
    <t>DBK-CUS-500761</t>
  </si>
  <si>
    <t>DBK-CMP-100762</t>
  </si>
  <si>
    <t>DBK-CUS-500762</t>
  </si>
  <si>
    <t>DBK-CMP-100763</t>
  </si>
  <si>
    <t>DBK-CUS-500763</t>
  </si>
  <si>
    <t>DBK-CMP-100764</t>
  </si>
  <si>
    <t>DBK-CUS-500764</t>
  </si>
  <si>
    <t>DBK-CMP-100765</t>
  </si>
  <si>
    <t>DBK-CUS-500765</t>
  </si>
  <si>
    <t>DBK-CMP-100766</t>
  </si>
  <si>
    <t>DBK-CUS-500766</t>
  </si>
  <si>
    <t>2024-10-29</t>
  </si>
  <si>
    <t>DBK-CMP-100767</t>
  </si>
  <si>
    <t>DBK-CUS-500767</t>
  </si>
  <si>
    <t>DBK-CMP-100768</t>
  </si>
  <si>
    <t>DBK-CUS-500768</t>
  </si>
  <si>
    <t>DBK-CMP-100769</t>
  </si>
  <si>
    <t>DBK-CUS-500769</t>
  </si>
  <si>
    <t>DBK-CMP-100770</t>
  </si>
  <si>
    <t>DBK-CUS-500770</t>
  </si>
  <si>
    <t>DBK-CMP-100771</t>
  </si>
  <si>
    <t>DBK-CUS-500771</t>
  </si>
  <si>
    <t>2024-07-22</t>
  </si>
  <si>
    <t>DBK-CMP-100772</t>
  </si>
  <si>
    <t>DBK-CUS-500772</t>
  </si>
  <si>
    <t>DBK-CMP-100773</t>
  </si>
  <si>
    <t>DBK-CUS-500773</t>
  </si>
  <si>
    <t>DBK-CMP-100774</t>
  </si>
  <si>
    <t>DBK-CUS-500774</t>
  </si>
  <si>
    <t>DBK-CMP-100775</t>
  </si>
  <si>
    <t>DBK-CUS-500775</t>
  </si>
  <si>
    <t>DBK-CMP-100776</t>
  </si>
  <si>
    <t>DBK-CUS-500776</t>
  </si>
  <si>
    <t>DBK-CMP-100777</t>
  </si>
  <si>
    <t>DBK-CUS-500777</t>
  </si>
  <si>
    <t>DBK-CMP-100778</t>
  </si>
  <si>
    <t>DBK-CUS-500778</t>
  </si>
  <si>
    <t>DBK-CMP-100779</t>
  </si>
  <si>
    <t>DBK-CUS-500779</t>
  </si>
  <si>
    <t>DBK-CMP-100780</t>
  </si>
  <si>
    <t>DBK-CUS-500780</t>
  </si>
  <si>
    <t>DBK-CMP-100781</t>
  </si>
  <si>
    <t>DBK-CUS-500781</t>
  </si>
  <si>
    <t>DBK-CMP-100782</t>
  </si>
  <si>
    <t>DBK-CUS-500782</t>
  </si>
  <si>
    <t>DBK-CMP-100783</t>
  </si>
  <si>
    <t>DBK-CUS-500783</t>
  </si>
  <si>
    <t>DBK-CMP-100784</t>
  </si>
  <si>
    <t>DBK-CUS-500784</t>
  </si>
  <si>
    <t>DBK-CMP-100785</t>
  </si>
  <si>
    <t>DBK-CUS-500785</t>
  </si>
  <si>
    <t>DBK-CMP-100786</t>
  </si>
  <si>
    <t>DBK-CUS-500786</t>
  </si>
  <si>
    <t>DBK-CMP-100787</t>
  </si>
  <si>
    <t>DBK-CUS-500787</t>
  </si>
  <si>
    <t>DBK-CMP-100788</t>
  </si>
  <si>
    <t>DBK-CUS-500788</t>
  </si>
  <si>
    <t>DBK-CMP-100789</t>
  </si>
  <si>
    <t>DBK-CUS-500789</t>
  </si>
  <si>
    <t>DBK-CMP-100790</t>
  </si>
  <si>
    <t>DBK-CUS-500790</t>
  </si>
  <si>
    <t>DBK-CMP-100791</t>
  </si>
  <si>
    <t>DBK-CUS-500791</t>
  </si>
  <si>
    <t>DBK-CMP-100792</t>
  </si>
  <si>
    <t>DBK-CUS-500792</t>
  </si>
  <si>
    <t>DBK-CMP-100793</t>
  </si>
  <si>
    <t>DBK-CUS-500793</t>
  </si>
  <si>
    <t>DBK-CMP-100794</t>
  </si>
  <si>
    <t>DBK-CUS-500794</t>
  </si>
  <si>
    <t>2024-06-22</t>
  </si>
  <si>
    <t>DBK-CMP-100795</t>
  </si>
  <si>
    <t>DBK-CUS-500795</t>
  </si>
  <si>
    <t>DBK-CMP-100796</t>
  </si>
  <si>
    <t>DBK-CUS-500796</t>
  </si>
  <si>
    <t>DBK-CMP-100797</t>
  </si>
  <si>
    <t>DBK-CUS-500797</t>
  </si>
  <si>
    <t>DBK-CMP-100798</t>
  </si>
  <si>
    <t>DBK-CUS-500798</t>
  </si>
  <si>
    <t>DBK-CMP-100799</t>
  </si>
  <si>
    <t>DBK-CUS-500799</t>
  </si>
  <si>
    <t>DBK-CMP-100800</t>
  </si>
  <si>
    <t>DBK-CUS-500800</t>
  </si>
  <si>
    <t>DBK-CMP-100801</t>
  </si>
  <si>
    <t>DBK-CUS-500801</t>
  </si>
  <si>
    <t>2024-04-07</t>
  </si>
  <si>
    <t>DBK-CMP-100802</t>
  </si>
  <si>
    <t>DBK-CUS-500802</t>
  </si>
  <si>
    <t>DBK-CMP-100803</t>
  </si>
  <si>
    <t>DBK-CUS-500803</t>
  </si>
  <si>
    <t>DBK-CMP-100804</t>
  </si>
  <si>
    <t>DBK-CUS-500804</t>
  </si>
  <si>
    <t>DBK-CMP-100805</t>
  </si>
  <si>
    <t>DBK-CUS-500805</t>
  </si>
  <si>
    <t>DBK-CMP-100806</t>
  </si>
  <si>
    <t>DBK-CUS-500806</t>
  </si>
  <si>
    <t>DBK-CMP-100807</t>
  </si>
  <si>
    <t>DBK-CUS-500807</t>
  </si>
  <si>
    <t>DBK-CMP-100808</t>
  </si>
  <si>
    <t>DBK-CUS-500808</t>
  </si>
  <si>
    <t>DBK-CMP-100809</t>
  </si>
  <si>
    <t>DBK-CUS-500809</t>
  </si>
  <si>
    <t>DBK-CMP-100810</t>
  </si>
  <si>
    <t>DBK-CUS-500810</t>
  </si>
  <si>
    <t>DBK-CMP-100811</t>
  </si>
  <si>
    <t>DBK-CUS-500811</t>
  </si>
  <si>
    <t>DBK-CMP-100812</t>
  </si>
  <si>
    <t>DBK-CUS-500812</t>
  </si>
  <si>
    <t>DBK-CMP-100813</t>
  </si>
  <si>
    <t>DBK-CUS-500813</t>
  </si>
  <si>
    <t>2024-06-29</t>
  </si>
  <si>
    <t>DBK-CMP-100814</t>
  </si>
  <si>
    <t>DBK-CUS-500814</t>
  </si>
  <si>
    <t>DBK-CMP-100815</t>
  </si>
  <si>
    <t>DBK-CUS-500815</t>
  </si>
  <si>
    <t>2024-05-16</t>
  </si>
  <si>
    <t>DBK-CMP-100816</t>
  </si>
  <si>
    <t>DBK-CUS-500816</t>
  </si>
  <si>
    <t>DBK-CMP-100817</t>
  </si>
  <si>
    <t>DBK-CUS-500817</t>
  </si>
  <si>
    <t>DBK-CMP-100818</t>
  </si>
  <si>
    <t>DBK-CUS-500818</t>
  </si>
  <si>
    <t>DBK-CMP-100819</t>
  </si>
  <si>
    <t>DBK-CUS-500819</t>
  </si>
  <si>
    <t>DBK-CMP-100820</t>
  </si>
  <si>
    <t>DBK-CUS-500820</t>
  </si>
  <si>
    <t>DBK-CMP-100821</t>
  </si>
  <si>
    <t>DBK-CUS-500821</t>
  </si>
  <si>
    <t>DBK-CMP-100822</t>
  </si>
  <si>
    <t>DBK-CUS-500822</t>
  </si>
  <si>
    <t>DBK-CMP-100823</t>
  </si>
  <si>
    <t>DBK-CUS-500823</t>
  </si>
  <si>
    <t>DBK-CMP-100824</t>
  </si>
  <si>
    <t>DBK-CUS-500824</t>
  </si>
  <si>
    <t>DBK-CMP-100825</t>
  </si>
  <si>
    <t>DBK-CUS-500825</t>
  </si>
  <si>
    <t>DBK-CMP-100826</t>
  </si>
  <si>
    <t>DBK-CUS-500826</t>
  </si>
  <si>
    <t>DBK-CMP-100827</t>
  </si>
  <si>
    <t>DBK-CUS-500827</t>
  </si>
  <si>
    <t>DBK-CMP-100828</t>
  </si>
  <si>
    <t>DBK-CUS-500828</t>
  </si>
  <si>
    <t>DBK-CMP-100829</t>
  </si>
  <si>
    <t>DBK-CUS-500829</t>
  </si>
  <si>
    <t>DBK-CMP-100830</t>
  </si>
  <si>
    <t>DBK-CUS-500830</t>
  </si>
  <si>
    <t>DBK-CMP-100831</t>
  </si>
  <si>
    <t>DBK-CUS-500831</t>
  </si>
  <si>
    <t>DBK-CMP-100832</t>
  </si>
  <si>
    <t>DBK-CUS-500832</t>
  </si>
  <si>
    <t>DBK-CMP-100833</t>
  </si>
  <si>
    <t>DBK-CUS-500833</t>
  </si>
  <si>
    <t>2024-05-11</t>
  </si>
  <si>
    <t>DBK-CMP-100834</t>
  </si>
  <si>
    <t>DBK-CUS-500834</t>
  </si>
  <si>
    <t>DBK-CMP-100835</t>
  </si>
  <si>
    <t>DBK-CUS-500835</t>
  </si>
  <si>
    <t>DBK-CMP-100836</t>
  </si>
  <si>
    <t>DBK-CUS-500836</t>
  </si>
  <si>
    <t>DBK-CMP-100837</t>
  </si>
  <si>
    <t>DBK-CUS-500837</t>
  </si>
  <si>
    <t>DBK-CMP-100838</t>
  </si>
  <si>
    <t>DBK-CUS-500838</t>
  </si>
  <si>
    <t>DBK-CMP-100839</t>
  </si>
  <si>
    <t>DBK-CUS-500839</t>
  </si>
  <si>
    <t>DBK-CMP-100840</t>
  </si>
  <si>
    <t>DBK-CUS-500840</t>
  </si>
  <si>
    <t>DBK-CMP-100841</t>
  </si>
  <si>
    <t>DBK-CUS-500841</t>
  </si>
  <si>
    <t>DBK-CMP-100842</t>
  </si>
  <si>
    <t>DBK-CUS-500842</t>
  </si>
  <si>
    <t>DBK-CMP-100843</t>
  </si>
  <si>
    <t>DBK-CUS-500843</t>
  </si>
  <si>
    <t>DBK-CMP-100844</t>
  </si>
  <si>
    <t>DBK-CUS-500844</t>
  </si>
  <si>
    <t>DBK-CMP-100845</t>
  </si>
  <si>
    <t>DBK-CUS-500845</t>
  </si>
  <si>
    <t>DBK-CMP-100846</t>
  </si>
  <si>
    <t>DBK-CUS-500846</t>
  </si>
  <si>
    <t>DBK-CMP-100847</t>
  </si>
  <si>
    <t>DBK-CUS-500847</t>
  </si>
  <si>
    <t>DBK-CMP-100848</t>
  </si>
  <si>
    <t>DBK-CUS-500848</t>
  </si>
  <si>
    <t>DBK-CMP-100849</t>
  </si>
  <si>
    <t>DBK-CUS-500849</t>
  </si>
  <si>
    <t>DBK-CMP-100850</t>
  </si>
  <si>
    <t>DBK-CUS-500850</t>
  </si>
  <si>
    <t>DBK-CMP-100851</t>
  </si>
  <si>
    <t>DBK-CUS-500851</t>
  </si>
  <si>
    <t>DBK-CMP-100852</t>
  </si>
  <si>
    <t>DBK-CUS-500852</t>
  </si>
  <si>
    <t>DBK-CMP-100853</t>
  </si>
  <si>
    <t>DBK-CUS-500853</t>
  </si>
  <si>
    <t>DBK-CMP-100854</t>
  </si>
  <si>
    <t>DBK-CUS-500854</t>
  </si>
  <si>
    <t>DBK-CMP-100855</t>
  </si>
  <si>
    <t>DBK-CUS-500855</t>
  </si>
  <si>
    <t>DBK-CMP-100856</t>
  </si>
  <si>
    <t>DBK-CUS-500856</t>
  </si>
  <si>
    <t>DBK-CMP-100857</t>
  </si>
  <si>
    <t>DBK-CUS-500857</t>
  </si>
  <si>
    <t>DBK-CMP-100858</t>
  </si>
  <si>
    <t>DBK-CUS-500858</t>
  </si>
  <si>
    <t>DBK-CMP-100859</t>
  </si>
  <si>
    <t>DBK-CUS-500859</t>
  </si>
  <si>
    <t>DBK-CMP-100860</t>
  </si>
  <si>
    <t>DBK-CUS-500860</t>
  </si>
  <si>
    <t>DBK-CMP-100861</t>
  </si>
  <si>
    <t>DBK-CUS-500861</t>
  </si>
  <si>
    <t>DBK-CMP-100862</t>
  </si>
  <si>
    <t>DBK-CUS-500862</t>
  </si>
  <si>
    <t>DBK-CMP-100863</t>
  </si>
  <si>
    <t>DBK-CUS-500863</t>
  </si>
  <si>
    <t>2024-10-10</t>
  </si>
  <si>
    <t>DBK-CMP-100864</t>
  </si>
  <si>
    <t>DBK-CUS-500864</t>
  </si>
  <si>
    <t>DBK-CMP-100865</t>
  </si>
  <si>
    <t>DBK-CUS-500865</t>
  </si>
  <si>
    <t>DBK-CMP-100866</t>
  </si>
  <si>
    <t>DBK-CUS-500866</t>
  </si>
  <si>
    <t>DBK-CMP-100867</t>
  </si>
  <si>
    <t>DBK-CUS-500867</t>
  </si>
  <si>
    <t>DBK-CMP-100868</t>
  </si>
  <si>
    <t>DBK-CUS-500868</t>
  </si>
  <si>
    <t>DBK-CMP-100869</t>
  </si>
  <si>
    <t>DBK-CUS-500869</t>
  </si>
  <si>
    <t>DBK-CMP-100870</t>
  </si>
  <si>
    <t>DBK-CUS-500870</t>
  </si>
  <si>
    <t>DBK-CMP-100871</t>
  </si>
  <si>
    <t>DBK-CUS-500871</t>
  </si>
  <si>
    <t>DBK-CMP-100872</t>
  </si>
  <si>
    <t>DBK-CUS-500872</t>
  </si>
  <si>
    <t>DBK-CMP-100873</t>
  </si>
  <si>
    <t>DBK-CUS-500873</t>
  </si>
  <si>
    <t>DBK-CMP-100874</t>
  </si>
  <si>
    <t>DBK-CUS-500874</t>
  </si>
  <si>
    <t>DBK-CMP-100875</t>
  </si>
  <si>
    <t>DBK-CUS-500875</t>
  </si>
  <si>
    <t>DBK-CMP-100876</t>
  </si>
  <si>
    <t>DBK-CUS-500876</t>
  </si>
  <si>
    <t>DBK-CMP-100877</t>
  </si>
  <si>
    <t>DBK-CUS-500877</t>
  </si>
  <si>
    <t>DBK-CMP-100878</t>
  </si>
  <si>
    <t>DBK-CUS-500878</t>
  </si>
  <si>
    <t>DBK-CMP-100879</t>
  </si>
  <si>
    <t>DBK-CUS-500879</t>
  </si>
  <si>
    <t>DBK-CMP-100880</t>
  </si>
  <si>
    <t>DBK-CUS-500880</t>
  </si>
  <si>
    <t>DBK-CMP-100881</t>
  </si>
  <si>
    <t>DBK-CUS-500881</t>
  </si>
  <si>
    <t>DBK-CMP-100882</t>
  </si>
  <si>
    <t>DBK-CUS-500882</t>
  </si>
  <si>
    <t>DBK-CMP-100883</t>
  </si>
  <si>
    <t>DBK-CUS-500883</t>
  </si>
  <si>
    <t>DBK-CMP-100884</t>
  </si>
  <si>
    <t>DBK-CUS-500884</t>
  </si>
  <si>
    <t>DBK-CMP-100885</t>
  </si>
  <si>
    <t>DBK-CUS-500885</t>
  </si>
  <si>
    <t>2024-10-21</t>
  </si>
  <si>
    <t>DBK-CMP-100886</t>
  </si>
  <si>
    <t>DBK-CUS-500886</t>
  </si>
  <si>
    <t>DBK-CMP-100887</t>
  </si>
  <si>
    <t>DBK-CUS-500887</t>
  </si>
  <si>
    <t>DBK-CMP-100888</t>
  </si>
  <si>
    <t>DBK-CUS-500888</t>
  </si>
  <si>
    <t>DBK-CMP-100889</t>
  </si>
  <si>
    <t>DBK-CUS-500889</t>
  </si>
  <si>
    <t>DBK-CMP-100890</t>
  </si>
  <si>
    <t>DBK-CUS-500890</t>
  </si>
  <si>
    <t>DBK-CMP-100891</t>
  </si>
  <si>
    <t>DBK-CUS-500891</t>
  </si>
  <si>
    <t>DBK-CMP-100892</t>
  </si>
  <si>
    <t>DBK-CUS-500892</t>
  </si>
  <si>
    <t>DBK-CMP-100893</t>
  </si>
  <si>
    <t>DBK-CUS-500893</t>
  </si>
  <si>
    <t>DBK-CMP-100894</t>
  </si>
  <si>
    <t>DBK-CUS-500894</t>
  </si>
  <si>
    <t>DBK-CMP-100895</t>
  </si>
  <si>
    <t>DBK-CUS-500895</t>
  </si>
  <si>
    <t>DBK-CMP-100896</t>
  </si>
  <si>
    <t>DBK-CUS-500896</t>
  </si>
  <si>
    <t>DBK-CMP-100897</t>
  </si>
  <si>
    <t>DBK-CUS-500897</t>
  </si>
  <si>
    <t>DBK-CMP-100898</t>
  </si>
  <si>
    <t>DBK-CUS-500898</t>
  </si>
  <si>
    <t>DBK-CMP-100899</t>
  </si>
  <si>
    <t>DBK-CUS-500899</t>
  </si>
  <si>
    <t>DBK-CMP-100900</t>
  </si>
  <si>
    <t>DBK-CUS-500900</t>
  </si>
  <si>
    <t>DBK-CMP-100901</t>
  </si>
  <si>
    <t>DBK-CUS-500901</t>
  </si>
  <si>
    <t>DBK-CMP-100902</t>
  </si>
  <si>
    <t>DBK-CUS-500902</t>
  </si>
  <si>
    <t>DBK-CMP-100903</t>
  </si>
  <si>
    <t>DBK-CUS-500903</t>
  </si>
  <si>
    <t>DBK-CMP-100904</t>
  </si>
  <si>
    <t>DBK-CUS-500904</t>
  </si>
  <si>
    <t>DBK-CMP-100905</t>
  </si>
  <si>
    <t>DBK-CUS-500905</t>
  </si>
  <si>
    <t>DBK-CMP-100906</t>
  </si>
  <si>
    <t>DBK-CUS-500906</t>
  </si>
  <si>
    <t>DBK-CMP-100907</t>
  </si>
  <si>
    <t>DBK-CUS-500907</t>
  </si>
  <si>
    <t>DBK-CMP-100908</t>
  </si>
  <si>
    <t>DBK-CUS-500908</t>
  </si>
  <si>
    <t>DBK-CMP-100909</t>
  </si>
  <si>
    <t>DBK-CUS-500909</t>
  </si>
  <si>
    <t>DBK-CMP-100910</t>
  </si>
  <si>
    <t>DBK-CUS-500910</t>
  </si>
  <si>
    <t>DBK-CMP-100911</t>
  </si>
  <si>
    <t>DBK-CUS-500911</t>
  </si>
  <si>
    <t>DBK-CMP-100912</t>
  </si>
  <si>
    <t>DBK-CUS-500912</t>
  </si>
  <si>
    <t>DBK-CMP-100913</t>
  </si>
  <si>
    <t>DBK-CUS-500913</t>
  </si>
  <si>
    <t>DBK-CMP-100914</t>
  </si>
  <si>
    <t>DBK-CUS-500914</t>
  </si>
  <si>
    <t>DBK-CMP-100915</t>
  </si>
  <si>
    <t>DBK-CUS-500915</t>
  </si>
  <si>
    <t>DBK-CMP-100916</t>
  </si>
  <si>
    <t>DBK-CUS-500916</t>
  </si>
  <si>
    <t>DBK-CMP-100917</t>
  </si>
  <si>
    <t>DBK-CUS-500917</t>
  </si>
  <si>
    <t>DBK-CMP-100918</t>
  </si>
  <si>
    <t>DBK-CUS-500918</t>
  </si>
  <si>
    <t>DBK-CMP-100919</t>
  </si>
  <si>
    <t>DBK-CUS-500919</t>
  </si>
  <si>
    <t>DBK-CMP-100920</t>
  </si>
  <si>
    <t>DBK-CUS-500920</t>
  </si>
  <si>
    <t>DBK-CMP-100921</t>
  </si>
  <si>
    <t>DBK-CUS-500921</t>
  </si>
  <si>
    <t>DBK-CMP-100922</t>
  </si>
  <si>
    <t>DBK-CUS-500922</t>
  </si>
  <si>
    <t>DBK-CMP-100923</t>
  </si>
  <si>
    <t>DBK-CUS-500923</t>
  </si>
  <si>
    <t>DBK-CMP-100924</t>
  </si>
  <si>
    <t>DBK-CUS-500924</t>
  </si>
  <si>
    <t>DBK-CMP-100925</t>
  </si>
  <si>
    <t>DBK-CUS-500925</t>
  </si>
  <si>
    <t>DBK-CMP-100926</t>
  </si>
  <si>
    <t>DBK-CUS-500926</t>
  </si>
  <si>
    <t>2024-11-21</t>
  </si>
  <si>
    <t>DBK-CMP-100927</t>
  </si>
  <si>
    <t>DBK-CUS-500927</t>
  </si>
  <si>
    <t>DBK-CMP-100928</t>
  </si>
  <si>
    <t>DBK-CUS-500928</t>
  </si>
  <si>
    <t>DBK-CMP-100929</t>
  </si>
  <si>
    <t>DBK-CUS-500929</t>
  </si>
  <si>
    <t>DBK-CMP-100930</t>
  </si>
  <si>
    <t>DBK-CUS-500930</t>
  </si>
  <si>
    <t>DBK-CMP-100931</t>
  </si>
  <si>
    <t>DBK-CUS-500931</t>
  </si>
  <si>
    <t>DBK-CMP-100932</t>
  </si>
  <si>
    <t>DBK-CUS-500932</t>
  </si>
  <si>
    <t>DBK-CMP-100933</t>
  </si>
  <si>
    <t>DBK-CUS-500933</t>
  </si>
  <si>
    <t>DBK-CMP-100934</t>
  </si>
  <si>
    <t>DBK-CUS-500934</t>
  </si>
  <si>
    <t>DBK-CMP-100935</t>
  </si>
  <si>
    <t>DBK-CUS-500935</t>
  </si>
  <si>
    <t>DBK-CMP-100936</t>
  </si>
  <si>
    <t>DBK-CUS-500936</t>
  </si>
  <si>
    <t>DBK-CMP-100937</t>
  </si>
  <si>
    <t>DBK-CUS-500937</t>
  </si>
  <si>
    <t>DBK-CMP-100938</t>
  </si>
  <si>
    <t>DBK-CUS-500938</t>
  </si>
  <si>
    <t>DBK-CMP-100939</t>
  </si>
  <si>
    <t>DBK-CUS-500939</t>
  </si>
  <si>
    <t>DBK-CMP-100940</t>
  </si>
  <si>
    <t>DBK-CUS-500940</t>
  </si>
  <si>
    <t>DBK-CMP-100941</t>
  </si>
  <si>
    <t>DBK-CUS-500941</t>
  </si>
  <si>
    <t>DBK-CMP-100942</t>
  </si>
  <si>
    <t>DBK-CUS-500942</t>
  </si>
  <si>
    <t>DBK-CMP-100943</t>
  </si>
  <si>
    <t>DBK-CUS-500943</t>
  </si>
  <si>
    <t>DBK-CMP-100944</t>
  </si>
  <si>
    <t>DBK-CUS-500944</t>
  </si>
  <si>
    <t>DBK-CMP-100945</t>
  </si>
  <si>
    <t>DBK-CUS-500945</t>
  </si>
  <si>
    <t>DBK-CMP-100946</t>
  </si>
  <si>
    <t>DBK-CUS-500946</t>
  </si>
  <si>
    <t>DBK-CMP-100947</t>
  </si>
  <si>
    <t>DBK-CUS-500947</t>
  </si>
  <si>
    <t>DBK-CMP-100948</t>
  </si>
  <si>
    <t>DBK-CUS-500948</t>
  </si>
  <si>
    <t>DBK-CMP-100949</t>
  </si>
  <si>
    <t>DBK-CUS-500949</t>
  </si>
  <si>
    <t>DBK-CMP-100950</t>
  </si>
  <si>
    <t>DBK-CUS-500950</t>
  </si>
  <si>
    <t>DBK-CMP-100951</t>
  </si>
  <si>
    <t>DBK-CUS-500951</t>
  </si>
  <si>
    <t>DBK-CMP-100952</t>
  </si>
  <si>
    <t>DBK-CUS-500952</t>
  </si>
  <si>
    <t>DBK-CMP-100953</t>
  </si>
  <si>
    <t>DBK-CUS-500953</t>
  </si>
  <si>
    <t>DBK-CMP-100954</t>
  </si>
  <si>
    <t>DBK-CUS-500954</t>
  </si>
  <si>
    <t>DBK-CMP-100955</t>
  </si>
  <si>
    <t>DBK-CUS-500955</t>
  </si>
  <si>
    <t>DBK-CMP-100956</t>
  </si>
  <si>
    <t>DBK-CUS-500956</t>
  </si>
  <si>
    <t>DBK-CMP-100957</t>
  </si>
  <si>
    <t>DBK-CUS-500957</t>
  </si>
  <si>
    <t>DBK-CMP-100958</t>
  </si>
  <si>
    <t>DBK-CUS-500958</t>
  </si>
  <si>
    <t>DBK-CMP-100959</t>
  </si>
  <si>
    <t>DBK-CUS-500959</t>
  </si>
  <si>
    <t>DBK-CMP-100960</t>
  </si>
  <si>
    <t>DBK-CUS-500960</t>
  </si>
  <si>
    <t>DBK-CMP-100961</t>
  </si>
  <si>
    <t>DBK-CUS-500961</t>
  </si>
  <si>
    <t>DBK-CMP-100962</t>
  </si>
  <si>
    <t>DBK-CUS-500962</t>
  </si>
  <si>
    <t>DBK-CMP-100963</t>
  </si>
  <si>
    <t>DBK-CUS-500963</t>
  </si>
  <si>
    <t>DBK-CMP-100964</t>
  </si>
  <si>
    <t>DBK-CUS-500964</t>
  </si>
  <si>
    <t>DBK-CMP-100965</t>
  </si>
  <si>
    <t>DBK-CUS-500965</t>
  </si>
  <si>
    <t>DBK-CMP-100966</t>
  </si>
  <si>
    <t>DBK-CUS-500966</t>
  </si>
  <si>
    <t>DBK-CMP-100967</t>
  </si>
  <si>
    <t>DBK-CUS-500967</t>
  </si>
  <si>
    <t>DBK-CMP-100968</t>
  </si>
  <si>
    <t>DBK-CUS-500968</t>
  </si>
  <si>
    <t>DBK-CMP-100969</t>
  </si>
  <si>
    <t>DBK-CUS-500969</t>
  </si>
  <si>
    <t>DBK-CMP-100970</t>
  </si>
  <si>
    <t>DBK-CUS-500970</t>
  </si>
  <si>
    <t>DBK-CMP-100971</t>
  </si>
  <si>
    <t>DBK-CUS-500971</t>
  </si>
  <si>
    <t>DBK-CMP-100972</t>
  </si>
  <si>
    <t>DBK-CUS-500972</t>
  </si>
  <si>
    <t>DBK-CMP-100973</t>
  </si>
  <si>
    <t>DBK-CUS-500973</t>
  </si>
  <si>
    <t>DBK-CMP-100974</t>
  </si>
  <si>
    <t>DBK-CUS-500974</t>
  </si>
  <si>
    <t>DBK-CMP-100975</t>
  </si>
  <si>
    <t>DBK-CUS-500975</t>
  </si>
  <si>
    <t>DBK-CMP-100976</t>
  </si>
  <si>
    <t>DBK-CUS-500976</t>
  </si>
  <si>
    <t>DBK-CMP-100977</t>
  </si>
  <si>
    <t>DBK-CUS-500977</t>
  </si>
  <si>
    <t>DBK-CMP-100978</t>
  </si>
  <si>
    <t>DBK-CUS-500978</t>
  </si>
  <si>
    <t>2025-01-02</t>
  </si>
  <si>
    <t>DBK-CMP-100979</t>
  </si>
  <si>
    <t>DBK-CUS-500979</t>
  </si>
  <si>
    <t>DBK-CMP-100980</t>
  </si>
  <si>
    <t>DBK-CUS-500980</t>
  </si>
  <si>
    <t>DBK-CMP-100981</t>
  </si>
  <si>
    <t>DBK-CUS-500981</t>
  </si>
  <si>
    <t>2024-01-06</t>
  </si>
  <si>
    <t>DBK-CMP-100982</t>
  </si>
  <si>
    <t>DBK-CUS-500982</t>
  </si>
  <si>
    <t>DBK-CMP-100983</t>
  </si>
  <si>
    <t>DBK-CUS-500983</t>
  </si>
  <si>
    <t>2024-05-12</t>
  </si>
  <si>
    <t>DBK-CMP-100984</t>
  </si>
  <si>
    <t>DBK-CUS-500984</t>
  </si>
  <si>
    <t>DBK-CMP-100985</t>
  </si>
  <si>
    <t>DBK-CUS-500985</t>
  </si>
  <si>
    <t>2024-03-31</t>
  </si>
  <si>
    <t>DBK-CMP-100986</t>
  </si>
  <si>
    <t>DBK-CUS-500986</t>
  </si>
  <si>
    <t>DBK-CMP-100987</t>
  </si>
  <si>
    <t>DBK-CUS-500987</t>
  </si>
  <si>
    <t>DBK-CMP-100988</t>
  </si>
  <si>
    <t>DBK-CUS-500988</t>
  </si>
  <si>
    <t>DBK-CMP-100989</t>
  </si>
  <si>
    <t>DBK-CUS-500989</t>
  </si>
  <si>
    <t>DBK-CMP-100990</t>
  </si>
  <si>
    <t>DBK-CUS-500990</t>
  </si>
  <si>
    <t>DBK-CMP-100991</t>
  </si>
  <si>
    <t>DBK-CUS-500991</t>
  </si>
  <si>
    <t>DBK-CMP-100992</t>
  </si>
  <si>
    <t>DBK-CUS-500992</t>
  </si>
  <si>
    <t>DBK-CMP-100993</t>
  </si>
  <si>
    <t>DBK-CUS-500993</t>
  </si>
  <si>
    <t>DBK-CMP-100994</t>
  </si>
  <si>
    <t>DBK-CUS-500994</t>
  </si>
  <si>
    <t>DBK-CMP-100995</t>
  </si>
  <si>
    <t>DBK-CUS-500995</t>
  </si>
  <si>
    <t>DBK-CMP-100996</t>
  </si>
  <si>
    <t>DBK-CUS-500996</t>
  </si>
  <si>
    <t>DBK-CMP-100997</t>
  </si>
  <si>
    <t>DBK-CUS-500997</t>
  </si>
  <si>
    <t>DBK-CMP-100998</t>
  </si>
  <si>
    <t>DBK-CUS-500998</t>
  </si>
  <si>
    <t>DBK-CMP-100999</t>
  </si>
  <si>
    <t>DBK-CUS-500999</t>
  </si>
  <si>
    <t>DBK-CMP-101000</t>
  </si>
  <si>
    <t>DBK-CUS-501000</t>
  </si>
  <si>
    <t>DBK-CMP-101001</t>
  </si>
  <si>
    <t>DBK-CUS-501001</t>
  </si>
  <si>
    <t>DBK-CMP-101002</t>
  </si>
  <si>
    <t>DBK-CUS-501002</t>
  </si>
  <si>
    <t>DBK-CMP-101003</t>
  </si>
  <si>
    <t>DBK-CUS-501003</t>
  </si>
  <si>
    <t>DBK-CMP-101004</t>
  </si>
  <si>
    <t>DBK-CUS-501004</t>
  </si>
  <si>
    <t>DBK-CMP-101005</t>
  </si>
  <si>
    <t>DBK-CUS-501005</t>
  </si>
  <si>
    <t>DBK-CMP-101006</t>
  </si>
  <si>
    <t>DBK-CUS-501006</t>
  </si>
  <si>
    <t>DBK-CMP-101007</t>
  </si>
  <si>
    <t>DBK-CUS-501007</t>
  </si>
  <si>
    <t>DBK-CMP-101008</t>
  </si>
  <si>
    <t>DBK-CUS-501008</t>
  </si>
  <si>
    <t>DBK-CMP-101009</t>
  </si>
  <si>
    <t>DBK-CUS-501009</t>
  </si>
  <si>
    <t>DBK-CMP-101010</t>
  </si>
  <si>
    <t>DBK-CUS-501010</t>
  </si>
  <si>
    <t>DBK-CMP-101011</t>
  </si>
  <si>
    <t>DBK-CUS-501011</t>
  </si>
  <si>
    <t>DBK-CMP-101012</t>
  </si>
  <si>
    <t>DBK-CUS-501012</t>
  </si>
  <si>
    <t>DBK-CMP-101013</t>
  </si>
  <si>
    <t>DBK-CUS-501013</t>
  </si>
  <si>
    <t>DBK-CMP-101014</t>
  </si>
  <si>
    <t>DBK-CUS-501014</t>
  </si>
  <si>
    <t>DBK-CMP-101015</t>
  </si>
  <si>
    <t>DBK-CUS-501015</t>
  </si>
  <si>
    <t>DBK-CMP-101016</t>
  </si>
  <si>
    <t>DBK-CUS-501016</t>
  </si>
  <si>
    <t>DBK-CMP-101017</t>
  </si>
  <si>
    <t>DBK-CUS-501017</t>
  </si>
  <si>
    <t>DBK-CMP-101018</t>
  </si>
  <si>
    <t>DBK-CUS-501018</t>
  </si>
  <si>
    <t>DBK-CMP-101019</t>
  </si>
  <si>
    <t>DBK-CUS-501019</t>
  </si>
  <si>
    <t>DBK-CMP-101020</t>
  </si>
  <si>
    <t>DBK-CUS-501020</t>
  </si>
  <si>
    <t>DBK-CMP-101021</t>
  </si>
  <si>
    <t>DBK-CUS-501021</t>
  </si>
  <si>
    <t>DBK-CMP-101022</t>
  </si>
  <si>
    <t>DBK-CUS-501022</t>
  </si>
  <si>
    <t>DBK-CMP-101023</t>
  </si>
  <si>
    <t>DBK-CUS-501023</t>
  </si>
  <si>
    <t>DBK-CMP-101024</t>
  </si>
  <si>
    <t>DBK-CUS-501024</t>
  </si>
  <si>
    <t>DBK-CMP-101025</t>
  </si>
  <si>
    <t>DBK-CUS-501025</t>
  </si>
  <si>
    <t>DBK-CMP-101026</t>
  </si>
  <si>
    <t>DBK-CUS-501026</t>
  </si>
  <si>
    <t>DBK-CMP-101027</t>
  </si>
  <si>
    <t>DBK-CUS-501027</t>
  </si>
  <si>
    <t>DBK-CMP-101028</t>
  </si>
  <si>
    <t>DBK-CUS-501028</t>
  </si>
  <si>
    <t>DBK-CMP-101029</t>
  </si>
  <si>
    <t>DBK-CUS-501029</t>
  </si>
  <si>
    <t>DBK-CMP-101030</t>
  </si>
  <si>
    <t>DBK-CUS-501030</t>
  </si>
  <si>
    <t>DBK-CMP-101031</t>
  </si>
  <si>
    <t>DBK-CUS-501031</t>
  </si>
  <si>
    <t>DBK-CMP-101032</t>
  </si>
  <si>
    <t>DBK-CUS-501032</t>
  </si>
  <si>
    <t>DBK-CMP-101033</t>
  </si>
  <si>
    <t>DBK-CUS-501033</t>
  </si>
  <si>
    <t>DBK-CMP-101034</t>
  </si>
  <si>
    <t>DBK-CUS-501034</t>
  </si>
  <si>
    <t>DBK-CMP-101035</t>
  </si>
  <si>
    <t>DBK-CUS-501035</t>
  </si>
  <si>
    <t>DBK-CMP-101036</t>
  </si>
  <si>
    <t>DBK-CUS-501036</t>
  </si>
  <si>
    <t>DBK-CMP-101037</t>
  </si>
  <si>
    <t>DBK-CUS-501037</t>
  </si>
  <si>
    <t>DBK-CMP-101038</t>
  </si>
  <si>
    <t>DBK-CUS-501038</t>
  </si>
  <si>
    <t>DBK-CMP-101039</t>
  </si>
  <si>
    <t>DBK-CUS-501039</t>
  </si>
  <si>
    <t>DBK-CMP-101040</t>
  </si>
  <si>
    <t>DBK-CUS-501040</t>
  </si>
  <si>
    <t>DBK-CMP-101041</t>
  </si>
  <si>
    <t>DBK-CUS-501041</t>
  </si>
  <si>
    <t>DBK-CMP-101042</t>
  </si>
  <si>
    <t>DBK-CUS-501042</t>
  </si>
  <si>
    <t>DBK-CMP-101043</t>
  </si>
  <si>
    <t>DBK-CUS-501043</t>
  </si>
  <si>
    <t>DBK-CMP-101044</t>
  </si>
  <si>
    <t>DBK-CUS-501044</t>
  </si>
  <si>
    <t>DBK-CMP-101045</t>
  </si>
  <si>
    <t>DBK-CUS-501045</t>
  </si>
  <si>
    <t>DBK-CMP-101046</t>
  </si>
  <si>
    <t>DBK-CUS-501046</t>
  </si>
  <si>
    <t>DBK-CMP-101047</t>
  </si>
  <si>
    <t>DBK-CUS-501047</t>
  </si>
  <si>
    <t>DBK-CMP-101048</t>
  </si>
  <si>
    <t>DBK-CUS-501048</t>
  </si>
  <si>
    <t>DBK-CMP-101049</t>
  </si>
  <si>
    <t>DBK-CUS-501049</t>
  </si>
  <si>
    <t>DBK-CMP-101050</t>
  </si>
  <si>
    <t>DBK-CUS-501050</t>
  </si>
  <si>
    <t>DBK-CMP-101051</t>
  </si>
  <si>
    <t>DBK-CUS-501051</t>
  </si>
  <si>
    <t>DBK-CMP-101052</t>
  </si>
  <si>
    <t>DBK-CUS-501052</t>
  </si>
  <si>
    <t>DBK-CMP-101053</t>
  </si>
  <si>
    <t>DBK-CUS-501053</t>
  </si>
  <si>
    <t>DBK-CMP-101054</t>
  </si>
  <si>
    <t>DBK-CUS-501054</t>
  </si>
  <si>
    <t>DBK-CMP-101055</t>
  </si>
  <si>
    <t>DBK-CUS-501055</t>
  </si>
  <si>
    <t>DBK-CMP-101056</t>
  </si>
  <si>
    <t>DBK-CUS-501056</t>
  </si>
  <si>
    <t>DBK-CMP-101057</t>
  </si>
  <si>
    <t>DBK-CUS-501057</t>
  </si>
  <si>
    <t>DBK-CMP-101058</t>
  </si>
  <si>
    <t>DBK-CUS-501058</t>
  </si>
  <si>
    <t>DBK-CMP-101059</t>
  </si>
  <si>
    <t>DBK-CUS-501059</t>
  </si>
  <si>
    <t>DBK-CMP-101060</t>
  </si>
  <si>
    <t>DBK-CUS-501060</t>
  </si>
  <si>
    <t>DBK-CMP-101061</t>
  </si>
  <si>
    <t>DBK-CUS-501061</t>
  </si>
  <si>
    <t>DBK-CMP-101062</t>
  </si>
  <si>
    <t>DBK-CUS-501062</t>
  </si>
  <si>
    <t>2024-09-29</t>
  </si>
  <si>
    <t>DBK-CMP-101063</t>
  </si>
  <si>
    <t>DBK-CUS-501063</t>
  </si>
  <si>
    <t>DBK-CMP-101064</t>
  </si>
  <si>
    <t>DBK-CUS-501064</t>
  </si>
  <si>
    <t>DBK-CMP-101065</t>
  </si>
  <si>
    <t>DBK-CUS-501065</t>
  </si>
  <si>
    <t>DBK-CMP-101066</t>
  </si>
  <si>
    <t>DBK-CUS-501066</t>
  </si>
  <si>
    <t>DBK-CMP-101067</t>
  </si>
  <si>
    <t>DBK-CUS-501067</t>
  </si>
  <si>
    <t>DBK-CMP-101068</t>
  </si>
  <si>
    <t>DBK-CUS-501068</t>
  </si>
  <si>
    <t>2024-11-20</t>
  </si>
  <si>
    <t>DBK-CMP-101069</t>
  </si>
  <si>
    <t>DBK-CUS-501069</t>
  </si>
  <si>
    <t>DBK-CMP-101070</t>
  </si>
  <si>
    <t>DBK-CUS-501070</t>
  </si>
  <si>
    <t>DBK-CMP-101071</t>
  </si>
  <si>
    <t>DBK-CUS-501071</t>
  </si>
  <si>
    <t>DBK-CMP-101072</t>
  </si>
  <si>
    <t>DBK-CUS-501072</t>
  </si>
  <si>
    <t>DBK-CMP-101073</t>
  </si>
  <si>
    <t>DBK-CUS-501073</t>
  </si>
  <si>
    <t>DBK-CMP-101074</t>
  </si>
  <si>
    <t>DBK-CUS-501074</t>
  </si>
  <si>
    <t>DBK-CMP-101075</t>
  </si>
  <si>
    <t>DBK-CUS-501075</t>
  </si>
  <si>
    <t>DBK-CMP-101076</t>
  </si>
  <si>
    <t>DBK-CUS-501076</t>
  </si>
  <si>
    <t>DBK-CMP-101077</t>
  </si>
  <si>
    <t>DBK-CUS-501077</t>
  </si>
  <si>
    <t>DBK-CMP-101078</t>
  </si>
  <si>
    <t>DBK-CUS-501078</t>
  </si>
  <si>
    <t>DBK-CMP-101079</t>
  </si>
  <si>
    <t>DBK-CUS-501079</t>
  </si>
  <si>
    <t>DBK-CMP-101080</t>
  </si>
  <si>
    <t>DBK-CUS-501080</t>
  </si>
  <si>
    <t>2024-12-09</t>
  </si>
  <si>
    <t>DBK-CMP-101081</t>
  </si>
  <si>
    <t>DBK-CUS-501081</t>
  </si>
  <si>
    <t>2024-09-26</t>
  </si>
  <si>
    <t>DBK-CMP-101082</t>
  </si>
  <si>
    <t>DBK-CUS-501082</t>
  </si>
  <si>
    <t>2024-06-11</t>
  </si>
  <si>
    <t>DBK-CMP-101083</t>
  </si>
  <si>
    <t>DBK-CUS-501083</t>
  </si>
  <si>
    <t>DBK-CMP-101084</t>
  </si>
  <si>
    <t>DBK-CUS-501084</t>
  </si>
  <si>
    <t>DBK-CMP-101085</t>
  </si>
  <si>
    <t>DBK-CUS-501085</t>
  </si>
  <si>
    <t>DBK-CMP-101086</t>
  </si>
  <si>
    <t>DBK-CUS-501086</t>
  </si>
  <si>
    <t>DBK-CMP-101087</t>
  </si>
  <si>
    <t>DBK-CUS-501087</t>
  </si>
  <si>
    <t>DBK-CMP-101088</t>
  </si>
  <si>
    <t>DBK-CUS-501088</t>
  </si>
  <si>
    <t>DBK-CMP-101089</t>
  </si>
  <si>
    <t>DBK-CUS-501089</t>
  </si>
  <si>
    <t>DBK-CMP-101090</t>
  </si>
  <si>
    <t>DBK-CUS-501090</t>
  </si>
  <si>
    <t>DBK-CMP-101091</t>
  </si>
  <si>
    <t>DBK-CUS-501091</t>
  </si>
  <si>
    <t>DBK-CMP-101092</t>
  </si>
  <si>
    <t>DBK-CUS-501092</t>
  </si>
  <si>
    <t>DBK-CMP-101093</t>
  </si>
  <si>
    <t>DBK-CUS-501093</t>
  </si>
  <si>
    <t>DBK-CMP-101094</t>
  </si>
  <si>
    <t>DBK-CUS-501094</t>
  </si>
  <si>
    <t>DBK-CMP-101095</t>
  </si>
  <si>
    <t>DBK-CUS-501095</t>
  </si>
  <si>
    <t>DBK-CMP-101096</t>
  </si>
  <si>
    <t>DBK-CUS-501096</t>
  </si>
  <si>
    <t>DBK-CMP-101097</t>
  </si>
  <si>
    <t>DBK-CUS-501097</t>
  </si>
  <si>
    <t>DBK-CMP-101098</t>
  </si>
  <si>
    <t>DBK-CUS-501098</t>
  </si>
  <si>
    <t>DBK-CMP-101099</t>
  </si>
  <si>
    <t>DBK-CUS-501099</t>
  </si>
  <si>
    <t>DBK-CMP-101100</t>
  </si>
  <si>
    <t>DBK-CUS-501100</t>
  </si>
  <si>
    <t>DBK-CMP-101101</t>
  </si>
  <si>
    <t>DBK-CUS-501101</t>
  </si>
  <si>
    <t>DBK-CMP-101102</t>
  </si>
  <si>
    <t>DBK-CUS-501102</t>
  </si>
  <si>
    <t>DBK-CMP-101103</t>
  </si>
  <si>
    <t>DBK-CUS-501103</t>
  </si>
  <si>
    <t>DBK-CMP-101104</t>
  </si>
  <si>
    <t>DBK-CUS-501104</t>
  </si>
  <si>
    <t>DBK-CMP-101105</t>
  </si>
  <si>
    <t>DBK-CUS-501105</t>
  </si>
  <si>
    <t>DBK-CMP-101106</t>
  </si>
  <si>
    <t>DBK-CUS-501106</t>
  </si>
  <si>
    <t>DBK-CMP-101107</t>
  </si>
  <si>
    <t>DBK-CUS-501107</t>
  </si>
  <si>
    <t>DBK-CMP-101108</t>
  </si>
  <si>
    <t>DBK-CUS-501108</t>
  </si>
  <si>
    <t>DBK-CMP-101109</t>
  </si>
  <si>
    <t>DBK-CUS-501109</t>
  </si>
  <si>
    <t>DBK-CMP-101110</t>
  </si>
  <si>
    <t>DBK-CUS-501110</t>
  </si>
  <si>
    <t>DBK-CMP-101111</t>
  </si>
  <si>
    <t>DBK-CUS-501111</t>
  </si>
  <si>
    <t>DBK-CMP-101112</t>
  </si>
  <si>
    <t>DBK-CUS-501112</t>
  </si>
  <si>
    <t>DBK-CMP-101113</t>
  </si>
  <si>
    <t>DBK-CUS-501113</t>
  </si>
  <si>
    <t>DBK-CMP-101114</t>
  </si>
  <si>
    <t>DBK-CUS-501114</t>
  </si>
  <si>
    <t>DBK-CMP-101115</t>
  </si>
  <si>
    <t>DBK-CUS-501115</t>
  </si>
  <si>
    <t>DBK-CMP-101116</t>
  </si>
  <si>
    <t>DBK-CUS-501116</t>
  </si>
  <si>
    <t>DBK-CMP-101117</t>
  </si>
  <si>
    <t>DBK-CUS-501117</t>
  </si>
  <si>
    <t>DBK-CMP-101118</t>
  </si>
  <si>
    <t>DBK-CUS-501118</t>
  </si>
  <si>
    <t>DBK-CMP-101119</t>
  </si>
  <si>
    <t>DBK-CUS-501119</t>
  </si>
  <si>
    <t>DBK-CMP-101120</t>
  </si>
  <si>
    <t>DBK-CUS-501120</t>
  </si>
  <si>
    <t>DBK-CMP-101121</t>
  </si>
  <si>
    <t>DBK-CUS-501121</t>
  </si>
  <si>
    <t>DBK-CMP-101122</t>
  </si>
  <si>
    <t>DBK-CUS-501122</t>
  </si>
  <si>
    <t>DBK-CMP-101123</t>
  </si>
  <si>
    <t>DBK-CUS-501123</t>
  </si>
  <si>
    <t>DBK-CMP-101124</t>
  </si>
  <si>
    <t>DBK-CUS-501124</t>
  </si>
  <si>
    <t>2024-05-01</t>
  </si>
  <si>
    <t>DBK-CMP-101125</t>
  </si>
  <si>
    <t>DBK-CUS-501125</t>
  </si>
  <si>
    <t>DBK-CMP-101126</t>
  </si>
  <si>
    <t>DBK-CUS-501126</t>
  </si>
  <si>
    <t>DBK-CMP-101127</t>
  </si>
  <si>
    <t>DBK-CUS-501127</t>
  </si>
  <si>
    <t>DBK-CMP-101128</t>
  </si>
  <si>
    <t>DBK-CUS-501128</t>
  </si>
  <si>
    <t>DBK-CMP-101129</t>
  </si>
  <si>
    <t>DBK-CUS-501129</t>
  </si>
  <si>
    <t>2024-07-27</t>
  </si>
  <si>
    <t>DBK-CMP-101130</t>
  </si>
  <si>
    <t>DBK-CUS-501130</t>
  </si>
  <si>
    <t>DBK-CMP-101131</t>
  </si>
  <si>
    <t>DBK-CUS-501131</t>
  </si>
  <si>
    <t>DBK-CMP-101132</t>
  </si>
  <si>
    <t>DBK-CUS-501132</t>
  </si>
  <si>
    <t>2024-09-02</t>
  </si>
  <si>
    <t>DBK-CMP-101133</t>
  </si>
  <si>
    <t>DBK-CUS-501133</t>
  </si>
  <si>
    <t>DBK-CMP-101134</t>
  </si>
  <si>
    <t>DBK-CUS-501134</t>
  </si>
  <si>
    <t>DBK-CMP-101135</t>
  </si>
  <si>
    <t>DBK-CUS-501135</t>
  </si>
  <si>
    <t>DBK-CMP-101136</t>
  </si>
  <si>
    <t>DBK-CUS-501136</t>
  </si>
  <si>
    <t>DBK-CMP-101137</t>
  </si>
  <si>
    <t>DBK-CUS-501137</t>
  </si>
  <si>
    <t>DBK-CMP-101138</t>
  </si>
  <si>
    <t>DBK-CUS-501138</t>
  </si>
  <si>
    <t>DBK-CMP-101139</t>
  </si>
  <si>
    <t>DBK-CUS-501139</t>
  </si>
  <si>
    <t>DBK-CMP-101140</t>
  </si>
  <si>
    <t>DBK-CUS-501140</t>
  </si>
  <si>
    <t>DBK-CMP-101141</t>
  </si>
  <si>
    <t>DBK-CUS-501141</t>
  </si>
  <si>
    <t>DBK-CMP-101142</t>
  </si>
  <si>
    <t>DBK-CUS-501142</t>
  </si>
  <si>
    <t>DBK-CMP-101143</t>
  </si>
  <si>
    <t>DBK-CUS-501143</t>
  </si>
  <si>
    <t>DBK-CMP-101144</t>
  </si>
  <si>
    <t>DBK-CUS-501144</t>
  </si>
  <si>
    <t>DBK-CMP-101145</t>
  </si>
  <si>
    <t>DBK-CUS-501145</t>
  </si>
  <si>
    <t>DBK-CMP-101146</t>
  </si>
  <si>
    <t>DBK-CUS-501146</t>
  </si>
  <si>
    <t>DBK-CMP-101147</t>
  </si>
  <si>
    <t>DBK-CUS-501147</t>
  </si>
  <si>
    <t>DBK-CMP-101148</t>
  </si>
  <si>
    <t>DBK-CUS-501148</t>
  </si>
  <si>
    <t>DBK-CMP-101149</t>
  </si>
  <si>
    <t>DBK-CUS-501149</t>
  </si>
  <si>
    <t>DBK-CMP-101150</t>
  </si>
  <si>
    <t>DBK-CUS-501150</t>
  </si>
  <si>
    <t>DBK-CMP-101151</t>
  </si>
  <si>
    <t>DBK-CUS-501151</t>
  </si>
  <si>
    <t>DBK-CMP-101152</t>
  </si>
  <si>
    <t>DBK-CUS-501152</t>
  </si>
  <si>
    <t>DBK-CMP-101153</t>
  </si>
  <si>
    <t>DBK-CUS-501153</t>
  </si>
  <si>
    <t>DBK-CMP-101154</t>
  </si>
  <si>
    <t>DBK-CUS-501154</t>
  </si>
  <si>
    <t>DBK-CMP-101155</t>
  </si>
  <si>
    <t>DBK-CUS-501155</t>
  </si>
  <si>
    <t>DBK-CMP-101156</t>
  </si>
  <si>
    <t>DBK-CUS-501156</t>
  </si>
  <si>
    <t>DBK-CMP-101157</t>
  </si>
  <si>
    <t>DBK-CUS-501157</t>
  </si>
  <si>
    <t>DBK-CMP-101158</t>
  </si>
  <si>
    <t>DBK-CUS-501158</t>
  </si>
  <si>
    <t>DBK-CMP-101159</t>
  </si>
  <si>
    <t>DBK-CUS-501159</t>
  </si>
  <si>
    <t>DBK-CMP-101160</t>
  </si>
  <si>
    <t>DBK-CUS-501160</t>
  </si>
  <si>
    <t>DBK-CMP-101161</t>
  </si>
  <si>
    <t>DBK-CUS-501161</t>
  </si>
  <si>
    <t>DBK-CMP-101162</t>
  </si>
  <si>
    <t>DBK-CUS-501162</t>
  </si>
  <si>
    <t>DBK-CMP-101163</t>
  </si>
  <si>
    <t>DBK-CUS-501163</t>
  </si>
  <si>
    <t>DBK-CMP-101164</t>
  </si>
  <si>
    <t>DBK-CUS-501164</t>
  </si>
  <si>
    <t>DBK-CMP-101165</t>
  </si>
  <si>
    <t>DBK-CUS-501165</t>
  </si>
  <si>
    <t>DBK-CMP-101166</t>
  </si>
  <si>
    <t>DBK-CUS-501166</t>
  </si>
  <si>
    <t>DBK-CMP-101167</t>
  </si>
  <si>
    <t>DBK-CUS-501167</t>
  </si>
  <si>
    <t>DBK-CMP-101168</t>
  </si>
  <si>
    <t>DBK-CUS-501168</t>
  </si>
  <si>
    <t>DBK-CMP-101169</t>
  </si>
  <si>
    <t>DBK-CUS-501169</t>
  </si>
  <si>
    <t>DBK-CMP-101170</t>
  </si>
  <si>
    <t>DBK-CUS-501170</t>
  </si>
  <si>
    <t>DBK-CMP-101171</t>
  </si>
  <si>
    <t>DBK-CUS-501171</t>
  </si>
  <si>
    <t>DBK-CMP-101172</t>
  </si>
  <si>
    <t>DBK-CUS-501172</t>
  </si>
  <si>
    <t>DBK-CMP-101173</t>
  </si>
  <si>
    <t>DBK-CUS-501173</t>
  </si>
  <si>
    <t>DBK-CMP-101174</t>
  </si>
  <si>
    <t>DBK-CUS-501174</t>
  </si>
  <si>
    <t>DBK-CMP-101175</t>
  </si>
  <si>
    <t>DBK-CUS-501175</t>
  </si>
  <si>
    <t>DBK-CMP-101176</t>
  </si>
  <si>
    <t>DBK-CUS-501176</t>
  </si>
  <si>
    <t>DBK-CMP-101177</t>
  </si>
  <si>
    <t>DBK-CUS-501177</t>
  </si>
  <si>
    <t>DBK-CMP-101178</t>
  </si>
  <si>
    <t>DBK-CUS-501178</t>
  </si>
  <si>
    <t>DBK-CMP-101179</t>
  </si>
  <si>
    <t>DBK-CUS-501179</t>
  </si>
  <si>
    <t>DBK-CMP-101180</t>
  </si>
  <si>
    <t>DBK-CUS-501180</t>
  </si>
  <si>
    <t>DBK-CMP-101181</t>
  </si>
  <si>
    <t>DBK-CUS-501181</t>
  </si>
  <si>
    <t>DBK-CMP-101182</t>
  </si>
  <si>
    <t>DBK-CUS-501182</t>
  </si>
  <si>
    <t>DBK-CMP-101183</t>
  </si>
  <si>
    <t>DBK-CUS-501183</t>
  </si>
  <si>
    <t>DBK-CMP-101184</t>
  </si>
  <si>
    <t>DBK-CUS-501184</t>
  </si>
  <si>
    <t>DBK-CMP-101185</t>
  </si>
  <si>
    <t>DBK-CUS-501185</t>
  </si>
  <si>
    <t>DBK-CMP-101186</t>
  </si>
  <si>
    <t>DBK-CUS-501186</t>
  </si>
  <si>
    <t>DBK-CMP-101187</t>
  </si>
  <si>
    <t>DBK-CUS-501187</t>
  </si>
  <si>
    <t>DBK-CMP-101188</t>
  </si>
  <si>
    <t>DBK-CUS-501188</t>
  </si>
  <si>
    <t>DBK-CMP-101189</t>
  </si>
  <si>
    <t>DBK-CUS-501189</t>
  </si>
  <si>
    <t>DBK-CMP-101190</t>
  </si>
  <si>
    <t>DBK-CUS-501190</t>
  </si>
  <si>
    <t>DBK-CMP-101191</t>
  </si>
  <si>
    <t>DBK-CUS-501191</t>
  </si>
  <si>
    <t>DBK-CMP-101192</t>
  </si>
  <si>
    <t>DBK-CUS-501192</t>
  </si>
  <si>
    <t>DBK-CMP-101193</t>
  </si>
  <si>
    <t>DBK-CUS-501193</t>
  </si>
  <si>
    <t>DBK-CMP-101194</t>
  </si>
  <si>
    <t>DBK-CUS-501194</t>
  </si>
  <si>
    <t>DBK-CMP-101195</t>
  </si>
  <si>
    <t>DBK-CUS-501195</t>
  </si>
  <si>
    <t>DBK-CMP-101196</t>
  </si>
  <si>
    <t>DBK-CUS-501196</t>
  </si>
  <si>
    <t>DBK-CMP-101197</t>
  </si>
  <si>
    <t>DBK-CUS-501197</t>
  </si>
  <si>
    <t>DBK-CMP-101198</t>
  </si>
  <si>
    <t>DBK-CUS-501198</t>
  </si>
  <si>
    <t>DBK-CMP-101199</t>
  </si>
  <si>
    <t>DBK-CUS-501199</t>
  </si>
  <si>
    <t>Resolution_Delay (Days</t>
  </si>
  <si>
    <t>Complaint_Month</t>
  </si>
  <si>
    <t>Resolution Speed</t>
  </si>
  <si>
    <t>Row Labels</t>
  </si>
  <si>
    <t>Grand Total</t>
  </si>
  <si>
    <t>Count of Complaint_ID</t>
  </si>
  <si>
    <t>TOTAL COMPLAINTS</t>
  </si>
  <si>
    <t>Average of Customer_Rating</t>
  </si>
  <si>
    <t>COMPLAINTS BY CHANNEL</t>
  </si>
  <si>
    <t>Jan</t>
  </si>
  <si>
    <t>Feb</t>
  </si>
  <si>
    <t>Mar</t>
  </si>
  <si>
    <t>Apr</t>
  </si>
  <si>
    <t>May</t>
  </si>
  <si>
    <t>Jun</t>
  </si>
  <si>
    <t>Jul</t>
  </si>
  <si>
    <t>Aug</t>
  </si>
  <si>
    <t>Sep</t>
  </si>
  <si>
    <t>Oct</t>
  </si>
  <si>
    <t>Nov</t>
  </si>
  <si>
    <t>Dec</t>
  </si>
  <si>
    <t>MONTHLY COMPLAINTS</t>
  </si>
  <si>
    <t>No</t>
  </si>
  <si>
    <t>Yes</t>
  </si>
  <si>
    <t>Count of Is_Resolved</t>
  </si>
  <si>
    <t>Unresolved</t>
  </si>
  <si>
    <t>Resolution Status</t>
  </si>
  <si>
    <t>Avg Resolution Time by Complaint Type</t>
  </si>
  <si>
    <t>Average of Resolution_Time_Hours</t>
  </si>
  <si>
    <t>Resolution status</t>
  </si>
  <si>
    <t>NA</t>
  </si>
  <si>
    <t>Resolved %</t>
  </si>
  <si>
    <t>toc</t>
  </si>
  <si>
    <t>Count of Resolution_Status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</si>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</sst>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name val="Calibri"/>
      <family val="2"/>
    </font>
    <font>
      <b/>
      <sz val="1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4" fontId="0" fillId="0" borderId="0" xfId="0" applyNumberFormat="1"/>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4" fillId="2" borderId="2" xfId="0" applyFont="1" applyFill="1" applyBorder="1"/>
    <xf numFmtId="2" fontId="0" fillId="0" borderId="0" xfId="0" applyNumberFormat="1"/>
    <xf numFmtId="164" fontId="0" fillId="0" borderId="0" xfId="0" applyNumberFormat="1"/>
    <xf numFmtId="1" fontId="0" fillId="0" borderId="0" xfId="0" applyNumberFormat="1"/>
    <xf numFmtId="9" fontId="0" fillId="0" borderId="0" xfId="1" applyFont="1"/>
    <xf numFmtId="9" fontId="0" fillId="0" borderId="0" xfId="0" applyNumberFormat="1"/>
  </cellXfs>
  <cellStyles count="2">
    <cellStyle name="Normal" xfId="0" builtinId="0"/>
    <cellStyle name="Percent" xfId="1" builtinId="5"/>
  </cellStyles>
  <dxfs count="24">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5" formatCode="m/d/yyyy"/>
    </dxf>
    <dxf>
      <numFmt numFmtId="165"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4" formatCode="0.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64" formatCode="0.0"/>
    </dxf>
    <dxf>
      <font>
        <color theme="0"/>
      </font>
      <fill>
        <patternFill>
          <bgColor rgb="FF0E5959"/>
        </patternFill>
      </fill>
    </dxf>
    <dxf>
      <fill>
        <patternFill>
          <bgColor rgb="FF0DA68A"/>
        </patternFill>
      </fill>
    </dxf>
  </dxfs>
  <tableStyles count="1" defaultTableStyle="TableStyleMedium9" defaultPivotStyle="PivotStyleLight16">
    <tableStyle name="Slicer Style 1" pivot="0" table="0" count="8" xr9:uid="{3481DAF9-600A-45D2-932F-E358BEC64F6B}">
      <tableStyleElement type="wholeTable" dxfId="23"/>
      <tableStyleElement type="headerRow" dxfId="22"/>
    </tableStyle>
  </tableStyles>
  <colors>
    <mruColors>
      <color rgb="FF1FB7A9"/>
      <color rgb="FFC4F2EE"/>
      <color rgb="FF0E5959"/>
      <color rgb="FF0F6D6D"/>
      <color rgb="FF188E82"/>
      <color rgb="FF0E837A"/>
      <color rgb="FF0DA68A"/>
      <color rgb="FF59727D"/>
      <color rgb="FF4B5B51"/>
      <color rgb="FF396F51"/>
    </mruColors>
  </colors>
  <extLst>
    <ext xmlns:x14="http://schemas.microsoft.com/office/spreadsheetml/2009/9/main" uri="{46F421CA-312F-682f-3DD2-61675219B42D}">
      <x14:dxfs count="6">
        <dxf>
          <fill>
            <patternFill>
              <bgColor theme="8"/>
            </patternFill>
          </fill>
        </dxf>
        <dxf>
          <fill>
            <patternFill>
              <bgColor theme="8" tint="-0.24994659260841701"/>
            </patternFill>
          </fill>
        </dxf>
        <dxf>
          <fill>
            <patternFill>
              <bgColor theme="8" tint="0.59996337778862885"/>
            </patternFill>
          </fill>
        </dxf>
        <dxf>
          <fill>
            <patternFill>
              <bgColor theme="4" tint="0.59996337778862885"/>
            </patternFill>
          </fill>
        </dxf>
        <dxf>
          <fill>
            <patternFill>
              <bgColor theme="8" tint="0.39994506668294322"/>
            </patternFill>
          </fill>
        </dxf>
        <dxf>
          <fill>
            <patternFill>
              <bgColor rgb="FF0070C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Sheet1!$E$10</c:f>
              <c:strCache>
                <c:ptCount val="1"/>
                <c:pt idx="0">
                  <c:v>Total</c:v>
                </c:pt>
              </c:strCache>
            </c:strRef>
          </c:tx>
          <c:spPr>
            <a:ln w="28575" cap="rnd">
              <a:solidFill>
                <a:schemeClr val="accent1"/>
              </a:solidFill>
              <a:round/>
            </a:ln>
            <a:effectLst/>
          </c:spPr>
          <c:marker>
            <c:symbol val="none"/>
          </c:marker>
          <c:cat>
            <c:strRef>
              <c:f>Sheet1!$D$11:$D$23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Sheet1!$E$11:$E$23</c:f>
              <c:numCache>
                <c:formatCode>0</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EC58-4B4B-8CBB-3CFDDB2DB5C5}"/>
            </c:ext>
          </c:extLst>
        </c:ser>
        <c:dLbls>
          <c:showLegendKey val="0"/>
          <c:showVal val="0"/>
          <c:showCatName val="0"/>
          <c:showSerName val="0"/>
          <c:showPercent val="0"/>
          <c:showBubbleSize val="0"/>
        </c:dLbls>
        <c:smooth val="0"/>
        <c:axId val="344958591"/>
        <c:axId val="344975391"/>
      </c:lineChart>
      <c:catAx>
        <c:axId val="3449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75391"/>
        <c:crosses val="autoZero"/>
        <c:auto val="1"/>
        <c:lblAlgn val="ctr"/>
        <c:lblOffset val="100"/>
        <c:noMultiLvlLbl val="0"/>
      </c:catAx>
      <c:valAx>
        <c:axId val="344975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5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Sheet1!$G$3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5D-4CC0-AD69-3268C7E0C0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5D-4CC0-AD69-3268C7E0C0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5D-4CC0-AD69-3268C7E0C0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5D-4CC0-AD69-3268C7E0C0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5D-4CC0-AD69-3268C7E0C0F5}"/>
              </c:ext>
            </c:extLst>
          </c:dPt>
          <c:cat>
            <c:strRef>
              <c:f>Sheet1!$F$4:$F$9</c:f>
              <c:strCache>
                <c:ptCount val="5"/>
                <c:pt idx="0">
                  <c:v>Branch</c:v>
                </c:pt>
                <c:pt idx="1">
                  <c:v>Call Center</c:v>
                </c:pt>
                <c:pt idx="2">
                  <c:v>Email</c:v>
                </c:pt>
                <c:pt idx="3">
                  <c:v>Mobile App</c:v>
                </c:pt>
                <c:pt idx="4">
                  <c:v>Website</c:v>
                </c:pt>
              </c:strCache>
            </c:strRef>
          </c:cat>
          <c:val>
            <c:numRef>
              <c:f>Sheet1!$G$4:$G$9</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A-285D-4CC0-AD69-3268C7E0C0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86-4C89-AEBB-18CB41014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86-4C89-AEBB-18CB410148B5}"/>
              </c:ext>
            </c:extLst>
          </c:dPt>
          <c:cat>
            <c:strRef>
              <c:f>Sheet1!$G$12:$G$14</c:f>
              <c:strCache>
                <c:ptCount val="2"/>
                <c:pt idx="0">
                  <c:v>Resolved</c:v>
                </c:pt>
                <c:pt idx="1">
                  <c:v>Unresolved</c:v>
                </c:pt>
              </c:strCache>
            </c:strRef>
          </c:cat>
          <c:val>
            <c:numRef>
              <c:f>Sheet1!$H$12:$H$14</c:f>
              <c:numCache>
                <c:formatCode>General</c:formatCode>
                <c:ptCount val="2"/>
                <c:pt idx="0">
                  <c:v>783</c:v>
                </c:pt>
                <c:pt idx="1">
                  <c:v>417</c:v>
                </c:pt>
              </c:numCache>
            </c:numRef>
          </c:val>
          <c:extLst>
            <c:ext xmlns:c16="http://schemas.microsoft.com/office/drawing/2014/chart" uri="{C3380CC4-5D6E-409C-BE32-E72D297353CC}">
              <c16:uniqueId val="{00000004-1B86-4C89-AEBB-18CB410148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Sheet1!$H$17</c:f>
              <c:strCache>
                <c:ptCount val="1"/>
                <c:pt idx="0">
                  <c:v>Total</c:v>
                </c:pt>
              </c:strCache>
            </c:strRef>
          </c:tx>
          <c:spPr>
            <a:solidFill>
              <a:schemeClr val="accent1"/>
            </a:solidFill>
            <a:ln>
              <a:noFill/>
            </a:ln>
            <a:effectLst/>
          </c:spPr>
          <c:invertIfNegative val="0"/>
          <c:cat>
            <c:strRef>
              <c:f>Sheet1!$G$18:$G$26</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Sheet1!$H$18:$H$26</c:f>
              <c:numCache>
                <c:formatCode>0</c:formatCode>
                <c:ptCount val="8"/>
                <c:pt idx="0">
                  <c:v>13.259541984732824</c:v>
                </c:pt>
                <c:pt idx="1">
                  <c:v>25.993197278911566</c:v>
                </c:pt>
                <c:pt idx="2">
                  <c:v>13.726708074534162</c:v>
                </c:pt>
                <c:pt idx="3">
                  <c:v>60.860606060606059</c:v>
                </c:pt>
                <c:pt idx="4">
                  <c:v>19.100671140939596</c:v>
                </c:pt>
                <c:pt idx="5">
                  <c:v>38.034013605442176</c:v>
                </c:pt>
                <c:pt idx="6">
                  <c:v>39.263157894736842</c:v>
                </c:pt>
                <c:pt idx="7">
                  <c:v>6.9459459459459456</c:v>
                </c:pt>
              </c:numCache>
            </c:numRef>
          </c:val>
          <c:extLst>
            <c:ext xmlns:c16="http://schemas.microsoft.com/office/drawing/2014/chart" uri="{C3380CC4-5D6E-409C-BE32-E72D297353CC}">
              <c16:uniqueId val="{00000000-A703-477F-B607-1B6581F6C1EC}"/>
            </c:ext>
          </c:extLst>
        </c:ser>
        <c:dLbls>
          <c:showLegendKey val="0"/>
          <c:showVal val="0"/>
          <c:showCatName val="0"/>
          <c:showSerName val="0"/>
          <c:showPercent val="0"/>
          <c:showBubbleSize val="0"/>
        </c:dLbls>
        <c:gapWidth val="219"/>
        <c:overlap val="-27"/>
        <c:axId val="344945631"/>
        <c:axId val="344941791"/>
      </c:barChart>
      <c:catAx>
        <c:axId val="3449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1791"/>
        <c:crosses val="autoZero"/>
        <c:auto val="1"/>
        <c:lblAlgn val="ctr"/>
        <c:lblOffset val="100"/>
        <c:noMultiLvlLbl val="0"/>
      </c:catAx>
      <c:valAx>
        <c:axId val="344941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Sheet1!$J$5</c:f>
              <c:strCache>
                <c:ptCount val="1"/>
                <c:pt idx="0">
                  <c:v>Total</c:v>
                </c:pt>
              </c:strCache>
            </c:strRef>
          </c:tx>
          <c:spPr>
            <a:solidFill>
              <a:schemeClr val="accent1"/>
            </a:solidFill>
            <a:ln>
              <a:noFill/>
            </a:ln>
            <a:effectLst/>
          </c:spPr>
          <c:invertIfNegative val="0"/>
          <c:cat>
            <c:strRef>
              <c:f>Sheet1!$I$6:$I$11</c:f>
              <c:strCache>
                <c:ptCount val="5"/>
                <c:pt idx="0">
                  <c:v>Branch</c:v>
                </c:pt>
                <c:pt idx="1">
                  <c:v>Call Center</c:v>
                </c:pt>
                <c:pt idx="2">
                  <c:v>Email</c:v>
                </c:pt>
                <c:pt idx="3">
                  <c:v>Mobile App</c:v>
                </c:pt>
                <c:pt idx="4">
                  <c:v>Website</c:v>
                </c:pt>
              </c:strCache>
            </c:strRef>
          </c:cat>
          <c:val>
            <c:numRef>
              <c:f>Sheet1!$J$6:$J$11</c:f>
              <c:numCache>
                <c:formatCode>0.00</c:formatCode>
                <c:ptCount val="5"/>
                <c:pt idx="0">
                  <c:v>3.1403508771929824</c:v>
                </c:pt>
                <c:pt idx="1">
                  <c:v>3.4969325153374231</c:v>
                </c:pt>
                <c:pt idx="2">
                  <c:v>3.1358024691358026</c:v>
                </c:pt>
                <c:pt idx="3">
                  <c:v>3.2765957446808511</c:v>
                </c:pt>
                <c:pt idx="4">
                  <c:v>3.0547945205479454</c:v>
                </c:pt>
              </c:numCache>
            </c:numRef>
          </c:val>
          <c:extLst>
            <c:ext xmlns:c16="http://schemas.microsoft.com/office/drawing/2014/chart" uri="{C3380CC4-5D6E-409C-BE32-E72D297353CC}">
              <c16:uniqueId val="{00000000-A1FE-4AC5-946D-B073645A691A}"/>
            </c:ext>
          </c:extLst>
        </c:ser>
        <c:dLbls>
          <c:showLegendKey val="0"/>
          <c:showVal val="0"/>
          <c:showCatName val="0"/>
          <c:showSerName val="0"/>
          <c:showPercent val="0"/>
          <c:showBubbleSize val="0"/>
        </c:dLbls>
        <c:gapWidth val="219"/>
        <c:overlap val="-27"/>
        <c:axId val="344942271"/>
        <c:axId val="344942751"/>
      </c:barChart>
      <c:catAx>
        <c:axId val="34494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2751"/>
        <c:crosses val="autoZero"/>
        <c:auto val="1"/>
        <c:lblAlgn val="ctr"/>
        <c:lblOffset val="100"/>
        <c:noMultiLvlLbl val="0"/>
      </c:catAx>
      <c:valAx>
        <c:axId val="344942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pro.xlsx]Sheet1!PivotTable22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Sheet1!$B$30:$B$31</c:f>
              <c:strCache>
                <c:ptCount val="1"/>
                <c:pt idx="0">
                  <c:v>In Progress</c:v>
                </c:pt>
              </c:strCache>
            </c:strRef>
          </c:tx>
          <c:spPr>
            <a:solidFill>
              <a:schemeClr val="accent1"/>
            </a:solidFill>
            <a:ln>
              <a:noFill/>
            </a:ln>
            <a:effectLst/>
          </c:spPr>
          <c:invertIfNegative val="0"/>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Sheet1!$B$32:$B$40</c:f>
              <c:numCache>
                <c:formatCode>General</c:formatCode>
                <c:ptCount val="8"/>
                <c:pt idx="0">
                  <c:v>25</c:v>
                </c:pt>
                <c:pt idx="1">
                  <c:v>31</c:v>
                </c:pt>
                <c:pt idx="2">
                  <c:v>31</c:v>
                </c:pt>
                <c:pt idx="3">
                  <c:v>32</c:v>
                </c:pt>
                <c:pt idx="4">
                  <c:v>37</c:v>
                </c:pt>
                <c:pt idx="5">
                  <c:v>28</c:v>
                </c:pt>
                <c:pt idx="6">
                  <c:v>33</c:v>
                </c:pt>
                <c:pt idx="7">
                  <c:v>24</c:v>
                </c:pt>
              </c:numCache>
            </c:numRef>
          </c:val>
          <c:extLst>
            <c:ext xmlns:c16="http://schemas.microsoft.com/office/drawing/2014/chart" uri="{C3380CC4-5D6E-409C-BE32-E72D297353CC}">
              <c16:uniqueId val="{00000003-AB27-465C-B3F1-6724D5AC19A2}"/>
            </c:ext>
          </c:extLst>
        </c:ser>
        <c:ser>
          <c:idx val="1"/>
          <c:order val="1"/>
          <c:tx>
            <c:strRef>
              <c:f>Sheet1!$C$30:$C$31</c:f>
              <c:strCache>
                <c:ptCount val="1"/>
                <c:pt idx="0">
                  <c:v>Pending</c:v>
                </c:pt>
              </c:strCache>
            </c:strRef>
          </c:tx>
          <c:spPr>
            <a:solidFill>
              <a:schemeClr val="accent2"/>
            </a:solidFill>
            <a:ln>
              <a:noFill/>
            </a:ln>
            <a:effectLst/>
          </c:spPr>
          <c:invertIfNegative val="0"/>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Sheet1!$C$32:$C$40</c:f>
              <c:numCache>
                <c:formatCode>General</c:formatCode>
                <c:ptCount val="8"/>
                <c:pt idx="0">
                  <c:v>23</c:v>
                </c:pt>
                <c:pt idx="1">
                  <c:v>24</c:v>
                </c:pt>
                <c:pt idx="2">
                  <c:v>20</c:v>
                </c:pt>
                <c:pt idx="3">
                  <c:v>20</c:v>
                </c:pt>
                <c:pt idx="4">
                  <c:v>21</c:v>
                </c:pt>
                <c:pt idx="5">
                  <c:v>17</c:v>
                </c:pt>
                <c:pt idx="6">
                  <c:v>26</c:v>
                </c:pt>
                <c:pt idx="7">
                  <c:v>25</c:v>
                </c:pt>
              </c:numCache>
            </c:numRef>
          </c:val>
          <c:extLst>
            <c:ext xmlns:c16="http://schemas.microsoft.com/office/drawing/2014/chart" uri="{C3380CC4-5D6E-409C-BE32-E72D297353CC}">
              <c16:uniqueId val="{00000006-AB27-465C-B3F1-6724D5AC19A2}"/>
            </c:ext>
          </c:extLst>
        </c:ser>
        <c:ser>
          <c:idx val="2"/>
          <c:order val="2"/>
          <c:tx>
            <c:strRef>
              <c:f>Sheet1!$D$30:$D$31</c:f>
              <c:strCache>
                <c:ptCount val="1"/>
                <c:pt idx="0">
                  <c:v>Resolved</c:v>
                </c:pt>
              </c:strCache>
            </c:strRef>
          </c:tx>
          <c:spPr>
            <a:solidFill>
              <a:schemeClr val="accent3"/>
            </a:solidFill>
            <a:ln>
              <a:noFill/>
            </a:ln>
            <a:effectLst/>
          </c:spPr>
          <c:invertIfNegative val="0"/>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Sheet1!$D$32:$D$40</c:f>
              <c:numCache>
                <c:formatCode>General</c:formatCode>
                <c:ptCount val="8"/>
                <c:pt idx="0">
                  <c:v>83</c:v>
                </c:pt>
                <c:pt idx="1">
                  <c:v>92</c:v>
                </c:pt>
                <c:pt idx="2">
                  <c:v>110</c:v>
                </c:pt>
                <c:pt idx="3">
                  <c:v>113</c:v>
                </c:pt>
                <c:pt idx="4">
                  <c:v>91</c:v>
                </c:pt>
                <c:pt idx="5">
                  <c:v>102</c:v>
                </c:pt>
                <c:pt idx="6">
                  <c:v>93</c:v>
                </c:pt>
                <c:pt idx="7">
                  <c:v>99</c:v>
                </c:pt>
              </c:numCache>
            </c:numRef>
          </c:val>
          <c:extLst>
            <c:ext xmlns:c16="http://schemas.microsoft.com/office/drawing/2014/chart" uri="{C3380CC4-5D6E-409C-BE32-E72D297353CC}">
              <c16:uniqueId val="{00000007-AB27-465C-B3F1-6724D5AC19A2}"/>
            </c:ext>
          </c:extLst>
        </c:ser>
        <c:dLbls>
          <c:showLegendKey val="0"/>
          <c:showVal val="0"/>
          <c:showCatName val="0"/>
          <c:showSerName val="0"/>
          <c:showPercent val="0"/>
          <c:showBubbleSize val="0"/>
        </c:dLbls>
        <c:gapWidth val="182"/>
        <c:axId val="527964239"/>
        <c:axId val="527950799"/>
      </c:barChart>
      <c:catAx>
        <c:axId val="52796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50799"/>
        <c:crosses val="autoZero"/>
        <c:auto val="1"/>
        <c:lblAlgn val="ctr"/>
        <c:lblOffset val="100"/>
        <c:noMultiLvlLbl val="0"/>
      </c:catAx>
      <c:valAx>
        <c:axId val="527950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6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pro.xlsx]Sheet1!PivotTable5</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latin typeface="Times New Roman" panose="02020603050405020304" pitchFamily="18" charset="0"/>
                <a:cs typeface="Times New Roman" panose="02020603050405020304" pitchFamily="18" charset="0"/>
              </a:rPr>
              <a:t>Monthly Complaint</a:t>
            </a:r>
            <a:r>
              <a:rPr lang="en-US" sz="1400" b="1" baseline="0">
                <a:latin typeface="Times New Roman" panose="02020603050405020304" pitchFamily="18" charset="0"/>
                <a:cs typeface="Times New Roman" panose="02020603050405020304" pitchFamily="18" charset="0"/>
              </a:rPr>
              <a:t> Trend</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27969751866853132"/>
          <c:y val="6.584546337096593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
          <c:idx val="0"/>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
          <c:idx val="0"/>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
          <c:idx val="0"/>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
          <c:idx val="0"/>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
          <c:idx val="0"/>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76117734784813E-2"/>
          <c:y val="0.18789196222267088"/>
          <c:w val="0.89805508217813901"/>
          <c:h val="0.67992417614464862"/>
        </c:manualLayout>
      </c:layout>
      <c:lineChart>
        <c:grouping val="standard"/>
        <c:varyColors val="0"/>
        <c:ser>
          <c:idx val="0"/>
          <c:order val="0"/>
          <c:tx>
            <c:strRef>
              <c:f>Sheet1!$E$10</c:f>
              <c:strCache>
                <c:ptCount val="1"/>
                <c:pt idx="0">
                  <c:v>Total</c:v>
                </c:pt>
              </c:strCache>
            </c:strRef>
          </c:tx>
          <c:spPr>
            <a:ln w="28575" cap="rnd">
              <a:solidFill>
                <a:srgbClr val="0E837A"/>
              </a:solidFill>
              <a:round/>
            </a:ln>
            <a:effectLst>
              <a:glow rad="228600">
                <a:srgbClr val="0E5959">
                  <a:alpha val="40000"/>
                </a:srgbClr>
              </a:glow>
            </a:effectLst>
          </c:spPr>
          <c:marker>
            <c:symbol val="circle"/>
            <c:size val="9"/>
            <c:spPr>
              <a:solidFill>
                <a:srgbClr val="0E5959"/>
              </a:solidFill>
              <a:ln w="9525">
                <a:solidFill>
                  <a:schemeClr val="accent1"/>
                </a:solidFill>
              </a:ln>
              <a:effectLst>
                <a:glow rad="228600">
                  <a:srgbClr val="0E5959">
                    <a:alpha val="40000"/>
                  </a:srgbClr>
                </a:glow>
              </a:effectLst>
            </c:spPr>
          </c:marker>
          <c:dLbls>
            <c:spPr>
              <a:solidFill>
                <a:srgbClr val="0F6D6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Sheet1!$E$11:$E$23</c:f>
              <c:numCache>
                <c:formatCode>0</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BDD1-4AA5-BD48-FDE9007AC217}"/>
            </c:ext>
          </c:extLst>
        </c:ser>
        <c:dLbls>
          <c:dLblPos val="t"/>
          <c:showLegendKey val="0"/>
          <c:showVal val="1"/>
          <c:showCatName val="0"/>
          <c:showSerName val="0"/>
          <c:showPercent val="0"/>
          <c:showBubbleSize val="0"/>
        </c:dLbls>
        <c:marker val="1"/>
        <c:smooth val="0"/>
        <c:axId val="344958591"/>
        <c:axId val="344975391"/>
      </c:lineChart>
      <c:catAx>
        <c:axId val="3449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975391"/>
        <c:crosses val="autoZero"/>
        <c:auto val="1"/>
        <c:lblAlgn val="ctr"/>
        <c:lblOffset val="100"/>
        <c:noMultiLvlLbl val="0"/>
      </c:catAx>
      <c:valAx>
        <c:axId val="344975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9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pro.xlsx]Sheet1!PivotTable22</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latin typeface="Times New Roman" panose="02020603050405020304" pitchFamily="18" charset="0"/>
                <a:cs typeface="Times New Roman" panose="02020603050405020304" pitchFamily="18" charset="0"/>
              </a:rPr>
              <a:t>Resolution</a:t>
            </a:r>
            <a:r>
              <a:rPr lang="en-US" sz="1400" b="1" baseline="0">
                <a:latin typeface="Times New Roman" panose="02020603050405020304" pitchFamily="18" charset="0"/>
                <a:cs typeface="Times New Roman" panose="02020603050405020304" pitchFamily="18" charset="0"/>
              </a:rPr>
              <a:t> Status by Complaint Type</a:t>
            </a:r>
          </a:p>
        </c:rich>
      </c:tx>
      <c:layout>
        <c:manualLayout>
          <c:xMode val="edge"/>
          <c:yMode val="edge"/>
          <c:x val="0.10456396796554276"/>
          <c:y val="2.6402653986462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88E82"/>
          </a:solidFill>
          <a:ln>
            <a:noFill/>
          </a:ln>
          <a:effectLst>
            <a:glow rad="139700">
              <a:srgbClr val="0E5959">
                <a:alpha val="40000"/>
              </a:srgb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88E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DA6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B7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FB7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88E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DA6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FB7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88E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DA6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FB7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88E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DA6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FB7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88E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DA6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7167793468583"/>
          <c:y val="0.20560806923316402"/>
          <c:w val="0.69344208896964799"/>
          <c:h val="0.65404103533745761"/>
        </c:manualLayout>
      </c:layout>
      <c:barChart>
        <c:barDir val="bar"/>
        <c:grouping val="stacked"/>
        <c:varyColors val="0"/>
        <c:ser>
          <c:idx val="0"/>
          <c:order val="0"/>
          <c:tx>
            <c:strRef>
              <c:f>Sheet1!$B$30:$B$31</c:f>
              <c:strCache>
                <c:ptCount val="1"/>
                <c:pt idx="0">
                  <c:v>In Progress</c:v>
                </c:pt>
              </c:strCache>
            </c:strRef>
          </c:tx>
          <c:spPr>
            <a:solidFill>
              <a:srgbClr val="1FB7A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Sheet1!$B$32:$B$40</c:f>
              <c:numCache>
                <c:formatCode>General</c:formatCode>
                <c:ptCount val="8"/>
                <c:pt idx="0">
                  <c:v>25</c:v>
                </c:pt>
                <c:pt idx="1">
                  <c:v>31</c:v>
                </c:pt>
                <c:pt idx="2">
                  <c:v>31</c:v>
                </c:pt>
                <c:pt idx="3">
                  <c:v>32</c:v>
                </c:pt>
                <c:pt idx="4">
                  <c:v>37</c:v>
                </c:pt>
                <c:pt idx="5">
                  <c:v>28</c:v>
                </c:pt>
                <c:pt idx="6">
                  <c:v>33</c:v>
                </c:pt>
                <c:pt idx="7">
                  <c:v>24</c:v>
                </c:pt>
              </c:numCache>
            </c:numRef>
          </c:val>
          <c:extLst>
            <c:ext xmlns:c16="http://schemas.microsoft.com/office/drawing/2014/chart" uri="{C3380CC4-5D6E-409C-BE32-E72D297353CC}">
              <c16:uniqueId val="{00000000-0E0A-483D-8237-CDBA600DFE4F}"/>
            </c:ext>
          </c:extLst>
        </c:ser>
        <c:ser>
          <c:idx val="1"/>
          <c:order val="1"/>
          <c:tx>
            <c:strRef>
              <c:f>Sheet1!$C$30:$C$31</c:f>
              <c:strCache>
                <c:ptCount val="1"/>
                <c:pt idx="0">
                  <c:v>Pending</c:v>
                </c:pt>
              </c:strCache>
            </c:strRef>
          </c:tx>
          <c:spPr>
            <a:solidFill>
              <a:srgbClr val="188E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Sheet1!$C$32:$C$40</c:f>
              <c:numCache>
                <c:formatCode>General</c:formatCode>
                <c:ptCount val="8"/>
                <c:pt idx="0">
                  <c:v>23</c:v>
                </c:pt>
                <c:pt idx="1">
                  <c:v>24</c:v>
                </c:pt>
                <c:pt idx="2">
                  <c:v>20</c:v>
                </c:pt>
                <c:pt idx="3">
                  <c:v>20</c:v>
                </c:pt>
                <c:pt idx="4">
                  <c:v>21</c:v>
                </c:pt>
                <c:pt idx="5">
                  <c:v>17</c:v>
                </c:pt>
                <c:pt idx="6">
                  <c:v>26</c:v>
                </c:pt>
                <c:pt idx="7">
                  <c:v>25</c:v>
                </c:pt>
              </c:numCache>
            </c:numRef>
          </c:val>
          <c:extLst>
            <c:ext xmlns:c16="http://schemas.microsoft.com/office/drawing/2014/chart" uri="{C3380CC4-5D6E-409C-BE32-E72D297353CC}">
              <c16:uniqueId val="{00000001-0E0A-483D-8237-CDBA600DFE4F}"/>
            </c:ext>
          </c:extLst>
        </c:ser>
        <c:ser>
          <c:idx val="2"/>
          <c:order val="2"/>
          <c:tx>
            <c:strRef>
              <c:f>Sheet1!$D$30:$D$31</c:f>
              <c:strCache>
                <c:ptCount val="1"/>
                <c:pt idx="0">
                  <c:v>Resolved</c:v>
                </c:pt>
              </c:strCache>
            </c:strRef>
          </c:tx>
          <c:spPr>
            <a:solidFill>
              <a:srgbClr val="0DA6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Sheet1!$A$32:$A$40</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Sheet1!$D$32:$D$40</c:f>
              <c:numCache>
                <c:formatCode>General</c:formatCode>
                <c:ptCount val="8"/>
                <c:pt idx="0">
                  <c:v>83</c:v>
                </c:pt>
                <c:pt idx="1">
                  <c:v>92</c:v>
                </c:pt>
                <c:pt idx="2">
                  <c:v>110</c:v>
                </c:pt>
                <c:pt idx="3">
                  <c:v>113</c:v>
                </c:pt>
                <c:pt idx="4">
                  <c:v>91</c:v>
                </c:pt>
                <c:pt idx="5">
                  <c:v>102</c:v>
                </c:pt>
                <c:pt idx="6">
                  <c:v>93</c:v>
                </c:pt>
                <c:pt idx="7">
                  <c:v>99</c:v>
                </c:pt>
              </c:numCache>
            </c:numRef>
          </c:val>
          <c:extLst>
            <c:ext xmlns:c16="http://schemas.microsoft.com/office/drawing/2014/chart" uri="{C3380CC4-5D6E-409C-BE32-E72D297353CC}">
              <c16:uniqueId val="{00000002-0E0A-483D-8237-CDBA600DFE4F}"/>
            </c:ext>
          </c:extLst>
        </c:ser>
        <c:dLbls>
          <c:showLegendKey val="0"/>
          <c:showVal val="1"/>
          <c:showCatName val="0"/>
          <c:showSerName val="0"/>
          <c:showPercent val="0"/>
          <c:showBubbleSize val="0"/>
        </c:dLbls>
        <c:gapWidth val="182"/>
        <c:overlap val="100"/>
        <c:axId val="527964239"/>
        <c:axId val="527950799"/>
      </c:barChart>
      <c:catAx>
        <c:axId val="52796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7950799"/>
        <c:crosses val="autoZero"/>
        <c:auto val="1"/>
        <c:lblAlgn val="ctr"/>
        <c:lblOffset val="100"/>
        <c:noMultiLvlLbl val="0"/>
      </c:catAx>
      <c:valAx>
        <c:axId val="527950799"/>
        <c:scaling>
          <c:orientation val="minMax"/>
        </c:scaling>
        <c:delete val="1"/>
        <c:axPos val="b"/>
        <c:numFmt formatCode="General" sourceLinked="1"/>
        <c:majorTickMark val="none"/>
        <c:minorTickMark val="none"/>
        <c:tickLblPos val="nextTo"/>
        <c:crossAx val="52796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0"/>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pro.xlsx]Sheet1!PivotTable7</c:name>
    <c:fmtId val="10"/>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sz="1400" b="1">
                <a:latin typeface="Times New Roman" panose="02020603050405020304" pitchFamily="18" charset="0"/>
                <a:cs typeface="Times New Roman" panose="02020603050405020304" pitchFamily="18" charset="0"/>
              </a:rPr>
              <a:t>Complaint Resolution Status</a:t>
            </a:r>
          </a:p>
        </c:rich>
      </c:tx>
      <c:layout>
        <c:manualLayout>
          <c:xMode val="edge"/>
          <c:yMode val="edge"/>
          <c:x val="0.16606855025474757"/>
          <c:y val="3.454231433506044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E837A"/>
          </a:solidFill>
          <a:ln w="19050">
            <a:noFill/>
          </a:ln>
          <a:effectLst/>
        </c:spPr>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Lst>
        </c:dLbl>
      </c:pivotFmt>
      <c:pivotFmt>
        <c:idx val="7"/>
        <c:spPr>
          <a:solidFill>
            <a:srgbClr val="396F51"/>
          </a:solidFill>
          <a:ln w="19050">
            <a:noFill/>
          </a:ln>
          <a:effectLst/>
        </c:spPr>
      </c:pivotFmt>
      <c:pivotFmt>
        <c:idx val="8"/>
        <c:spPr>
          <a:solidFill>
            <a:srgbClr val="1FB7A9"/>
          </a:solidFill>
          <a:ln w="19050">
            <a:noFill/>
          </a:ln>
          <a:effectLst/>
        </c:spPr>
      </c:pivotFmt>
      <c:pivotFmt>
        <c:idx val="9"/>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E837A"/>
          </a:solidFill>
          <a:ln w="19050">
            <a:noFill/>
          </a:ln>
          <a:effectLst/>
        </c:spPr>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Lst>
        </c:dLbl>
      </c:pivotFmt>
      <c:pivotFmt>
        <c:idx val="11"/>
        <c:spPr>
          <a:solidFill>
            <a:srgbClr val="396F51"/>
          </a:solidFill>
          <a:ln w="19050">
            <a:noFill/>
          </a:ln>
          <a:effectLst/>
        </c:spPr>
      </c:pivotFmt>
      <c:pivotFmt>
        <c:idx val="12"/>
        <c:spPr>
          <a:solidFill>
            <a:srgbClr val="1FB7A9"/>
          </a:solidFill>
          <a:ln w="19050">
            <a:noFill/>
          </a:ln>
          <a:effectLst/>
        </c:spPr>
      </c:pivotFmt>
      <c:pivotFmt>
        <c:idx val="13"/>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E837A"/>
          </a:solidFill>
          <a:ln w="19050">
            <a:noFill/>
          </a:ln>
          <a:effectLst/>
        </c:spPr>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Lst>
        </c:dLbl>
      </c:pivotFmt>
      <c:pivotFmt>
        <c:idx val="15"/>
        <c:spPr>
          <a:solidFill>
            <a:srgbClr val="396F51"/>
          </a:solidFill>
          <a:ln w="19050">
            <a:noFill/>
          </a:ln>
          <a:effectLst/>
        </c:spPr>
      </c:pivotFmt>
      <c:pivotFmt>
        <c:idx val="16"/>
        <c:spPr>
          <a:solidFill>
            <a:srgbClr val="1FB7A9"/>
          </a:solidFill>
          <a:ln w="19050">
            <a:noFill/>
          </a:ln>
          <a:effectLst/>
        </c:spPr>
      </c:pivotFmt>
      <c:pivotFmt>
        <c:idx val="17"/>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E837A"/>
          </a:solidFill>
          <a:ln w="19050">
            <a:noFill/>
          </a:ln>
          <a:effectLst/>
        </c:spPr>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Lst>
        </c:dLbl>
      </c:pivotFmt>
      <c:pivotFmt>
        <c:idx val="19"/>
        <c:spPr>
          <a:solidFill>
            <a:srgbClr val="396F51"/>
          </a:solidFill>
          <a:ln w="19050">
            <a:noFill/>
          </a:ln>
          <a:effectLst/>
        </c:spPr>
      </c:pivotFmt>
      <c:pivotFmt>
        <c:idx val="20"/>
        <c:spPr>
          <a:solidFill>
            <a:srgbClr val="1FB7A9"/>
          </a:solidFill>
          <a:ln w="19050">
            <a:noFill/>
          </a:ln>
          <a:effectLst/>
        </c:spPr>
      </c:pivotFmt>
      <c:pivotFmt>
        <c:idx val="21"/>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E837A"/>
          </a:solidFill>
          <a:ln w="19050">
            <a:noFill/>
          </a:ln>
          <a:effectLst/>
        </c:spPr>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Lst>
        </c:dLbl>
      </c:pivotFmt>
      <c:pivotFmt>
        <c:idx val="23"/>
        <c:spPr>
          <a:solidFill>
            <a:srgbClr val="396F51"/>
          </a:solidFill>
          <a:ln w="19050">
            <a:noFill/>
          </a:ln>
          <a:effectLst/>
        </c:spPr>
      </c:pivotFmt>
      <c:pivotFmt>
        <c:idx val="24"/>
        <c:spPr>
          <a:solidFill>
            <a:srgbClr val="1FB7A9"/>
          </a:solidFill>
          <a:ln w="19050">
            <a:noFill/>
          </a:ln>
          <a:effectLst/>
        </c:spPr>
      </c:pivotFmt>
    </c:pivotFmts>
    <c:plotArea>
      <c:layout>
        <c:manualLayout>
          <c:layoutTarget val="inner"/>
          <c:xMode val="edge"/>
          <c:yMode val="edge"/>
          <c:x val="0.16463300910915549"/>
          <c:y val="0.19068445459861558"/>
          <c:w val="0.55009788482322064"/>
          <c:h val="0.76968428329174898"/>
        </c:manualLayout>
      </c:layout>
      <c:pieChart>
        <c:varyColors val="1"/>
        <c:ser>
          <c:idx val="0"/>
          <c:order val="0"/>
          <c:tx>
            <c:strRef>
              <c:f>Sheet1!$B$23</c:f>
              <c:strCache>
                <c:ptCount val="1"/>
                <c:pt idx="0">
                  <c:v>Total</c:v>
                </c:pt>
              </c:strCache>
            </c:strRef>
          </c:tx>
          <c:dPt>
            <c:idx val="0"/>
            <c:bubble3D val="0"/>
            <c:spPr>
              <a:solidFill>
                <a:srgbClr val="0E837A"/>
              </a:solidFill>
              <a:ln w="19050">
                <a:noFill/>
              </a:ln>
              <a:effectLst/>
            </c:spPr>
            <c:extLst>
              <c:ext xmlns:c16="http://schemas.microsoft.com/office/drawing/2014/chart" uri="{C3380CC4-5D6E-409C-BE32-E72D297353CC}">
                <c16:uniqueId val="{00000001-50CA-4063-A188-811437ADC9EE}"/>
              </c:ext>
            </c:extLst>
          </c:dPt>
          <c:dPt>
            <c:idx val="1"/>
            <c:bubble3D val="0"/>
            <c:spPr>
              <a:solidFill>
                <a:srgbClr val="396F51"/>
              </a:solidFill>
              <a:ln w="19050">
                <a:noFill/>
              </a:ln>
              <a:effectLst/>
            </c:spPr>
            <c:extLst>
              <c:ext xmlns:c16="http://schemas.microsoft.com/office/drawing/2014/chart" uri="{C3380CC4-5D6E-409C-BE32-E72D297353CC}">
                <c16:uniqueId val="{00000003-50CA-4063-A188-811437ADC9EE}"/>
              </c:ext>
            </c:extLst>
          </c:dPt>
          <c:dPt>
            <c:idx val="2"/>
            <c:bubble3D val="0"/>
            <c:spPr>
              <a:solidFill>
                <a:srgbClr val="1FB7A9"/>
              </a:solidFill>
              <a:ln w="19050">
                <a:noFill/>
              </a:ln>
              <a:effectLst/>
            </c:spPr>
            <c:extLst>
              <c:ext xmlns:c16="http://schemas.microsoft.com/office/drawing/2014/chart" uri="{C3380CC4-5D6E-409C-BE32-E72D297353CC}">
                <c16:uniqueId val="{00000005-50CA-4063-A188-811437ADC9EE}"/>
              </c:ext>
            </c:extLst>
          </c:dPt>
          <c:dLbls>
            <c:dLbl>
              <c:idx val="0"/>
              <c:spPr>
                <a:noFill/>
                <a:ln>
                  <a:noFill/>
                </a:ln>
                <a:effectLst>
                  <a:glow>
                    <a:schemeClr val="accent1">
                      <a:alpha val="40000"/>
                    </a:schemeClr>
                  </a:glow>
                </a:effectLst>
              </c:spPr>
              <c:txPr>
                <a:bodyPr rot="0" spcFirstLastPara="1" vertOverflow="overflow" horzOverflow="overflow" vert="horz" wrap="square" lIns="91440" anchor="ctr" anchorCtr="1">
                  <a:noAutofit/>
                </a:bodyPr>
                <a:lstStyle/>
                <a:p>
                  <a:pPr>
                    <a:defRPr lang="en-US"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198641346302301"/>
                      <c:h val="0.11851851851851852"/>
                    </c:manualLayout>
                  </c15:layout>
                </c:ext>
                <c:ext xmlns:c16="http://schemas.microsoft.com/office/drawing/2014/chart" uri="{C3380CC4-5D6E-409C-BE32-E72D297353CC}">
                  <c16:uniqueId val="{00000001-50CA-4063-A188-811437ADC9EE}"/>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Sheet1!$A$24:$A$27</c:f>
              <c:strCache>
                <c:ptCount val="3"/>
                <c:pt idx="0">
                  <c:v>In Progress</c:v>
                </c:pt>
                <c:pt idx="1">
                  <c:v>Pending</c:v>
                </c:pt>
                <c:pt idx="2">
                  <c:v>Resolved</c:v>
                </c:pt>
              </c:strCache>
            </c:strRef>
          </c:cat>
          <c:val>
            <c:numRef>
              <c:f>Sheet1!$B$24:$B$27</c:f>
              <c:numCache>
                <c:formatCode>General</c:formatCode>
                <c:ptCount val="3"/>
                <c:pt idx="0">
                  <c:v>241</c:v>
                </c:pt>
                <c:pt idx="1">
                  <c:v>176</c:v>
                </c:pt>
                <c:pt idx="2">
                  <c:v>783</c:v>
                </c:pt>
              </c:numCache>
            </c:numRef>
          </c:val>
          <c:extLst>
            <c:ext xmlns:c16="http://schemas.microsoft.com/office/drawing/2014/chart" uri="{C3380CC4-5D6E-409C-BE32-E72D297353CC}">
              <c16:uniqueId val="{00000006-50CA-4063-A188-811437ADC9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489547630075653"/>
          <c:y val="0.3215878585125046"/>
          <c:w val="0.2562809942874788"/>
          <c:h val="0.4533703235282117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pro.xlsx]Sheet1!PivotTable3</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i="0">
                <a:latin typeface="Times New Roman" panose="02020603050405020304" pitchFamily="18" charset="0"/>
                <a:cs typeface="Times New Roman" panose="02020603050405020304" pitchFamily="18" charset="0"/>
              </a:rPr>
              <a:t>Total Complaints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dLbl>
          <c:idx val="0"/>
          <c:layout>
            <c:manualLayout>
              <c:x val="-1.1235951742619439E-2"/>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dLbl>
          <c:idx val="0"/>
          <c:layout>
            <c:manualLayout>
              <c:x val="-6.8663356333278273E-17"/>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noFill/>
          </a:ln>
          <a:effectLst/>
        </c:spPr>
        <c:dLbl>
          <c:idx val="0"/>
          <c:layout>
            <c:manualLayout>
              <c:x val="-3.745317247539813E-3"/>
              <c:y val="5.7224606580829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noFill/>
          </a:ln>
          <a:effectLst/>
        </c:spPr>
        <c:dLbl>
          <c:idx val="0"/>
          <c:layout>
            <c:manualLayout>
              <c:x val="-3.4331678166639137E-17"/>
              <c:y val="-2.2889842632331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noFill/>
          </a:ln>
          <a:effectLst/>
        </c:spPr>
        <c:dLbl>
          <c:idx val="0"/>
          <c:layout>
            <c:manualLayout>
              <c:x val="-1.1235951742619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noFill/>
          </a:ln>
          <a:effectLst/>
        </c:spPr>
        <c:dLbl>
          <c:idx val="0"/>
          <c:layout>
            <c:manualLayout>
              <c:x val="-1.1235951742619439E-2"/>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noFill/>
          </a:ln>
          <a:effectLst/>
        </c:spPr>
        <c:dLbl>
          <c:idx val="0"/>
          <c:layout>
            <c:manualLayout>
              <c:x val="-6.8663356333278273E-17"/>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noFill/>
          </a:ln>
          <a:effectLst/>
        </c:spPr>
        <c:dLbl>
          <c:idx val="0"/>
          <c:layout>
            <c:manualLayout>
              <c:x val="-3.745317247539813E-3"/>
              <c:y val="5.7224606580829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noFill/>
          </a:ln>
          <a:effectLst/>
        </c:spPr>
        <c:dLbl>
          <c:idx val="0"/>
          <c:layout>
            <c:manualLayout>
              <c:x val="-3.4331678166639137E-17"/>
              <c:y val="-2.2889842632331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noFill/>
          </a:ln>
          <a:effectLst/>
        </c:spPr>
        <c:dLbl>
          <c:idx val="0"/>
          <c:layout>
            <c:manualLayout>
              <c:x val="-1.1235951742619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noFill/>
          </a:ln>
          <a:effectLst/>
        </c:spPr>
        <c:dLbl>
          <c:idx val="0"/>
          <c:layout>
            <c:manualLayout>
              <c:x val="-1.1235951742619439E-2"/>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noFill/>
          </a:ln>
          <a:effectLst/>
        </c:spPr>
        <c:dLbl>
          <c:idx val="0"/>
          <c:layout>
            <c:manualLayout>
              <c:x val="-6.8663356333278273E-17"/>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noFill/>
          </a:ln>
          <a:effectLst/>
        </c:spPr>
        <c:dLbl>
          <c:idx val="0"/>
          <c:layout>
            <c:manualLayout>
              <c:x val="-3.745317247539813E-3"/>
              <c:y val="5.7224606580829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noFill/>
          </a:ln>
          <a:effectLst/>
        </c:spPr>
        <c:dLbl>
          <c:idx val="0"/>
          <c:layout>
            <c:manualLayout>
              <c:x val="-3.4331678166639137E-17"/>
              <c:y val="-2.2889842632331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noFill/>
          </a:ln>
          <a:effectLst/>
        </c:spPr>
        <c:dLbl>
          <c:idx val="0"/>
          <c:layout>
            <c:manualLayout>
              <c:x val="-1.1235951742619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noFill/>
          </a:ln>
          <a:effectLst/>
        </c:spPr>
        <c:dLbl>
          <c:idx val="0"/>
          <c:layout>
            <c:manualLayout>
              <c:x val="-1.1235951742619439E-2"/>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noFill/>
          </a:ln>
          <a:effectLst/>
        </c:spPr>
        <c:dLbl>
          <c:idx val="0"/>
          <c:layout>
            <c:manualLayout>
              <c:x val="-6.8663356333278273E-17"/>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noFill/>
          </a:ln>
          <a:effectLst/>
        </c:spPr>
        <c:dLbl>
          <c:idx val="0"/>
          <c:layout>
            <c:manualLayout>
              <c:x val="-3.745317247539813E-3"/>
              <c:y val="5.7224606580829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noFill/>
          </a:ln>
          <a:effectLst/>
        </c:spPr>
        <c:dLbl>
          <c:idx val="0"/>
          <c:layout>
            <c:manualLayout>
              <c:x val="-3.4331678166639137E-17"/>
              <c:y val="-2.2889842632331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noFill/>
          </a:ln>
          <a:effectLst/>
        </c:spPr>
        <c:dLbl>
          <c:idx val="0"/>
          <c:layout>
            <c:manualLayout>
              <c:x val="-1.1235951742619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noFill/>
          </a:ln>
          <a:effectLst/>
        </c:spPr>
        <c:dLbl>
          <c:idx val="0"/>
          <c:layout>
            <c:manualLayout>
              <c:x val="-1.1235951742619439E-2"/>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noFill/>
          </a:ln>
          <a:effectLst/>
        </c:spPr>
        <c:dLbl>
          <c:idx val="0"/>
          <c:layout>
            <c:manualLayout>
              <c:x val="-6.8663356333278273E-17"/>
              <c:y val="1.1444921316165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noFill/>
          </a:ln>
          <a:effectLst/>
        </c:spPr>
        <c:dLbl>
          <c:idx val="0"/>
          <c:layout>
            <c:manualLayout>
              <c:x val="-3.745317247539813E-3"/>
              <c:y val="5.7224606580829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noFill/>
          </a:ln>
          <a:effectLst/>
        </c:spPr>
        <c:dLbl>
          <c:idx val="0"/>
          <c:layout>
            <c:manualLayout>
              <c:x val="-3.4331678166639137E-17"/>
              <c:y val="-2.2889842632331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noFill/>
          </a:ln>
          <a:effectLst/>
        </c:spPr>
        <c:dLbl>
          <c:idx val="0"/>
          <c:layout>
            <c:manualLayout>
              <c:x val="-1.123595174261943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32765253658356E-2"/>
          <c:y val="0.20084906862370358"/>
          <c:w val="0.47597094883687485"/>
          <c:h val="0.6746772672833371"/>
        </c:manualLayout>
      </c:layout>
      <c:doughnutChart>
        <c:varyColors val="1"/>
        <c:ser>
          <c:idx val="0"/>
          <c:order val="0"/>
          <c:tx>
            <c:strRef>
              <c:f>Sheet1!$G$3</c:f>
              <c:strCache>
                <c:ptCount val="1"/>
                <c:pt idx="0">
                  <c:v>Total</c:v>
                </c:pt>
              </c:strCache>
            </c:strRef>
          </c:tx>
          <c:explosion val="3"/>
          <c:dPt>
            <c:idx val="0"/>
            <c:bubble3D val="0"/>
            <c:spPr>
              <a:solidFill>
                <a:schemeClr val="accent1"/>
              </a:solidFill>
              <a:ln w="19050">
                <a:noFill/>
              </a:ln>
              <a:effectLst/>
            </c:spPr>
            <c:extLst>
              <c:ext xmlns:c16="http://schemas.microsoft.com/office/drawing/2014/chart" uri="{C3380CC4-5D6E-409C-BE32-E72D297353CC}">
                <c16:uniqueId val="{00000001-81F1-4D5F-8383-0C370B012F8B}"/>
              </c:ext>
            </c:extLst>
          </c:dPt>
          <c:dPt>
            <c:idx val="1"/>
            <c:bubble3D val="0"/>
            <c:spPr>
              <a:solidFill>
                <a:schemeClr val="accent2"/>
              </a:solidFill>
              <a:ln w="19050">
                <a:noFill/>
              </a:ln>
              <a:effectLst/>
            </c:spPr>
            <c:extLst>
              <c:ext xmlns:c16="http://schemas.microsoft.com/office/drawing/2014/chart" uri="{C3380CC4-5D6E-409C-BE32-E72D297353CC}">
                <c16:uniqueId val="{00000003-81F1-4D5F-8383-0C370B012F8B}"/>
              </c:ext>
            </c:extLst>
          </c:dPt>
          <c:dPt>
            <c:idx val="2"/>
            <c:bubble3D val="0"/>
            <c:spPr>
              <a:solidFill>
                <a:schemeClr val="accent3"/>
              </a:solidFill>
              <a:ln w="19050">
                <a:noFill/>
              </a:ln>
              <a:effectLst/>
            </c:spPr>
            <c:extLst>
              <c:ext xmlns:c16="http://schemas.microsoft.com/office/drawing/2014/chart" uri="{C3380CC4-5D6E-409C-BE32-E72D297353CC}">
                <c16:uniqueId val="{00000005-81F1-4D5F-8383-0C370B012F8B}"/>
              </c:ext>
            </c:extLst>
          </c:dPt>
          <c:dPt>
            <c:idx val="3"/>
            <c:bubble3D val="0"/>
            <c:spPr>
              <a:solidFill>
                <a:schemeClr val="accent4"/>
              </a:solidFill>
              <a:ln w="19050">
                <a:noFill/>
              </a:ln>
              <a:effectLst/>
            </c:spPr>
            <c:extLst>
              <c:ext xmlns:c16="http://schemas.microsoft.com/office/drawing/2014/chart" uri="{C3380CC4-5D6E-409C-BE32-E72D297353CC}">
                <c16:uniqueId val="{00000007-81F1-4D5F-8383-0C370B012F8B}"/>
              </c:ext>
            </c:extLst>
          </c:dPt>
          <c:dPt>
            <c:idx val="4"/>
            <c:bubble3D val="0"/>
            <c:spPr>
              <a:solidFill>
                <a:schemeClr val="accent5"/>
              </a:solidFill>
              <a:ln w="19050">
                <a:noFill/>
              </a:ln>
              <a:effectLst/>
            </c:spPr>
            <c:extLst>
              <c:ext xmlns:c16="http://schemas.microsoft.com/office/drawing/2014/chart" uri="{C3380CC4-5D6E-409C-BE32-E72D297353CC}">
                <c16:uniqueId val="{00000009-81F1-4D5F-8383-0C370B012F8B}"/>
              </c:ext>
            </c:extLst>
          </c:dPt>
          <c:dLbls>
            <c:dLbl>
              <c:idx val="0"/>
              <c:layout>
                <c:manualLayout>
                  <c:x val="-1.1235951742619439E-2"/>
                  <c:y val="-1.1444921316165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F1-4D5F-8383-0C370B012F8B}"/>
                </c:ext>
              </c:extLst>
            </c:dLbl>
            <c:dLbl>
              <c:idx val="1"/>
              <c:layout>
                <c:manualLayout>
                  <c:x val="-6.8663356333278273E-17"/>
                  <c:y val="1.1444921316165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F1-4D5F-8383-0C370B012F8B}"/>
                </c:ext>
              </c:extLst>
            </c:dLbl>
            <c:dLbl>
              <c:idx val="2"/>
              <c:layout>
                <c:manualLayout>
                  <c:x val="-3.745317247539813E-3"/>
                  <c:y val="5.72246065808297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F1-4D5F-8383-0C370B012F8B}"/>
                </c:ext>
              </c:extLst>
            </c:dLbl>
            <c:dLbl>
              <c:idx val="3"/>
              <c:layout>
                <c:manualLayout>
                  <c:x val="-3.4331678166639137E-17"/>
                  <c:y val="-2.2889842632331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F1-4D5F-8383-0C370B012F8B}"/>
                </c:ext>
              </c:extLst>
            </c:dLbl>
            <c:dLbl>
              <c:idx val="4"/>
              <c:layout>
                <c:manualLayout>
                  <c:x val="-1.12359517426194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F1-4D5F-8383-0C370B012F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Sheet1!$F$4:$F$9</c:f>
              <c:strCache>
                <c:ptCount val="5"/>
                <c:pt idx="0">
                  <c:v>Branch</c:v>
                </c:pt>
                <c:pt idx="1">
                  <c:v>Call Center</c:v>
                </c:pt>
                <c:pt idx="2">
                  <c:v>Email</c:v>
                </c:pt>
                <c:pt idx="3">
                  <c:v>Mobile App</c:v>
                </c:pt>
                <c:pt idx="4">
                  <c:v>Website</c:v>
                </c:pt>
              </c:strCache>
            </c:strRef>
          </c:cat>
          <c:val>
            <c:numRef>
              <c:f>Sheet1!$G$4:$G$9</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A-81F1-4D5F-8383-0C370B012F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040304893395185"/>
          <c:y val="0.30719873608032006"/>
          <c:w val="0.26653759033545465"/>
          <c:h val="0.52670285146395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 pro.xlsx]Sheet1!PivotTable12</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Average Hours to Resolve</a:t>
            </a:r>
          </a:p>
        </c:rich>
      </c:tx>
      <c:layout>
        <c:manualLayout>
          <c:xMode val="edge"/>
          <c:yMode val="edge"/>
          <c:x val="0.283791980593806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88E8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88E82"/>
          </a:solidFill>
          <a:ln>
            <a:noFill/>
          </a:ln>
          <a:effectLst/>
        </c:spPr>
      </c:pivotFmt>
      <c:pivotFmt>
        <c:idx val="6"/>
        <c:spPr>
          <a:solidFill>
            <a:srgbClr val="188E82"/>
          </a:solidFill>
          <a:ln>
            <a:noFill/>
          </a:ln>
          <a:effectLst/>
        </c:spPr>
      </c:pivotFmt>
      <c:pivotFmt>
        <c:idx val="7"/>
        <c:spPr>
          <a:solidFill>
            <a:srgbClr val="188E82"/>
          </a:solidFill>
          <a:ln>
            <a:noFill/>
          </a:ln>
          <a:effectLst/>
        </c:spPr>
      </c:pivotFmt>
      <c:pivotFmt>
        <c:idx val="8"/>
        <c:spPr>
          <a:solidFill>
            <a:srgbClr val="188E82"/>
          </a:solidFill>
          <a:ln>
            <a:noFill/>
          </a:ln>
          <a:effectLst/>
        </c:spPr>
      </c:pivotFmt>
      <c:pivotFmt>
        <c:idx val="9"/>
        <c:spPr>
          <a:solidFill>
            <a:srgbClr val="188E82"/>
          </a:solidFill>
          <a:ln>
            <a:noFill/>
          </a:ln>
          <a:effectLst/>
        </c:spPr>
      </c:pivotFmt>
      <c:pivotFmt>
        <c:idx val="10"/>
        <c:spPr>
          <a:solidFill>
            <a:srgbClr val="188E82"/>
          </a:solidFill>
          <a:ln>
            <a:noFill/>
          </a:ln>
          <a:effectLst/>
        </c:spPr>
      </c:pivotFmt>
      <c:pivotFmt>
        <c:idx val="11"/>
        <c:spPr>
          <a:solidFill>
            <a:srgbClr val="188E82"/>
          </a:solidFill>
          <a:ln>
            <a:noFill/>
          </a:ln>
          <a:effectLst/>
        </c:spPr>
      </c:pivotFmt>
      <c:pivotFmt>
        <c:idx val="12"/>
        <c:spPr>
          <a:solidFill>
            <a:srgbClr val="188E82"/>
          </a:solidFill>
          <a:ln>
            <a:noFill/>
          </a:ln>
          <a:effectLst/>
        </c:spPr>
      </c:pivotFmt>
      <c:pivotFmt>
        <c:idx val="13"/>
        <c:spPr>
          <a:solidFill>
            <a:srgbClr val="188E8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88E82"/>
          </a:solidFill>
          <a:ln>
            <a:noFill/>
          </a:ln>
          <a:effectLst/>
        </c:spPr>
      </c:pivotFmt>
      <c:pivotFmt>
        <c:idx val="15"/>
        <c:spPr>
          <a:solidFill>
            <a:srgbClr val="188E82"/>
          </a:solidFill>
          <a:ln>
            <a:noFill/>
          </a:ln>
          <a:effectLst/>
        </c:spPr>
      </c:pivotFmt>
      <c:pivotFmt>
        <c:idx val="16"/>
        <c:spPr>
          <a:solidFill>
            <a:srgbClr val="188E82"/>
          </a:solidFill>
          <a:ln>
            <a:noFill/>
          </a:ln>
          <a:effectLst/>
        </c:spPr>
      </c:pivotFmt>
      <c:pivotFmt>
        <c:idx val="17"/>
        <c:spPr>
          <a:solidFill>
            <a:srgbClr val="188E82"/>
          </a:solidFill>
          <a:ln>
            <a:noFill/>
          </a:ln>
          <a:effectLst/>
        </c:spPr>
      </c:pivotFmt>
      <c:pivotFmt>
        <c:idx val="18"/>
        <c:spPr>
          <a:solidFill>
            <a:srgbClr val="188E82"/>
          </a:solidFill>
          <a:ln>
            <a:noFill/>
          </a:ln>
          <a:effectLst/>
        </c:spPr>
      </c:pivotFmt>
      <c:pivotFmt>
        <c:idx val="19"/>
        <c:spPr>
          <a:solidFill>
            <a:srgbClr val="188E82"/>
          </a:solidFill>
          <a:ln>
            <a:noFill/>
          </a:ln>
          <a:effectLst/>
        </c:spPr>
      </c:pivotFmt>
      <c:pivotFmt>
        <c:idx val="20"/>
        <c:spPr>
          <a:solidFill>
            <a:srgbClr val="188E82"/>
          </a:solidFill>
          <a:ln>
            <a:noFill/>
          </a:ln>
          <a:effectLst/>
        </c:spPr>
      </c:pivotFmt>
      <c:pivotFmt>
        <c:idx val="21"/>
        <c:spPr>
          <a:solidFill>
            <a:srgbClr val="188E82"/>
          </a:solidFill>
          <a:ln>
            <a:noFill/>
          </a:ln>
          <a:effectLst/>
        </c:spPr>
      </c:pivotFmt>
      <c:pivotFmt>
        <c:idx val="22"/>
        <c:spPr>
          <a:solidFill>
            <a:srgbClr val="188E8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88E82"/>
          </a:solidFill>
          <a:ln>
            <a:noFill/>
          </a:ln>
          <a:effectLst/>
        </c:spPr>
      </c:pivotFmt>
      <c:pivotFmt>
        <c:idx val="24"/>
        <c:spPr>
          <a:solidFill>
            <a:srgbClr val="188E82"/>
          </a:solidFill>
          <a:ln>
            <a:noFill/>
          </a:ln>
          <a:effectLst/>
        </c:spPr>
      </c:pivotFmt>
      <c:pivotFmt>
        <c:idx val="25"/>
        <c:spPr>
          <a:solidFill>
            <a:srgbClr val="188E82"/>
          </a:solidFill>
          <a:ln>
            <a:noFill/>
          </a:ln>
          <a:effectLst/>
        </c:spPr>
      </c:pivotFmt>
      <c:pivotFmt>
        <c:idx val="26"/>
        <c:spPr>
          <a:solidFill>
            <a:srgbClr val="188E82"/>
          </a:solidFill>
          <a:ln>
            <a:noFill/>
          </a:ln>
          <a:effectLst/>
        </c:spPr>
      </c:pivotFmt>
      <c:pivotFmt>
        <c:idx val="27"/>
        <c:spPr>
          <a:solidFill>
            <a:srgbClr val="188E82"/>
          </a:solidFill>
          <a:ln>
            <a:noFill/>
          </a:ln>
          <a:effectLst/>
        </c:spPr>
      </c:pivotFmt>
      <c:pivotFmt>
        <c:idx val="28"/>
        <c:spPr>
          <a:solidFill>
            <a:srgbClr val="188E82"/>
          </a:solidFill>
          <a:ln>
            <a:noFill/>
          </a:ln>
          <a:effectLst/>
        </c:spPr>
      </c:pivotFmt>
      <c:pivotFmt>
        <c:idx val="29"/>
        <c:spPr>
          <a:solidFill>
            <a:srgbClr val="188E82"/>
          </a:solidFill>
          <a:ln>
            <a:noFill/>
          </a:ln>
          <a:effectLst/>
        </c:spPr>
      </c:pivotFmt>
      <c:pivotFmt>
        <c:idx val="30"/>
        <c:spPr>
          <a:solidFill>
            <a:srgbClr val="188E82"/>
          </a:solidFill>
          <a:ln>
            <a:noFill/>
          </a:ln>
          <a:effectLst/>
        </c:spPr>
      </c:pivotFmt>
      <c:pivotFmt>
        <c:idx val="31"/>
        <c:spPr>
          <a:solidFill>
            <a:srgbClr val="188E8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188E82"/>
          </a:solidFill>
          <a:ln>
            <a:noFill/>
          </a:ln>
          <a:effectLst/>
        </c:spPr>
      </c:pivotFmt>
      <c:pivotFmt>
        <c:idx val="33"/>
        <c:spPr>
          <a:solidFill>
            <a:srgbClr val="188E82"/>
          </a:solidFill>
          <a:ln>
            <a:noFill/>
          </a:ln>
          <a:effectLst/>
        </c:spPr>
      </c:pivotFmt>
      <c:pivotFmt>
        <c:idx val="34"/>
        <c:spPr>
          <a:solidFill>
            <a:srgbClr val="188E82"/>
          </a:solidFill>
          <a:ln>
            <a:noFill/>
          </a:ln>
          <a:effectLst/>
        </c:spPr>
      </c:pivotFmt>
      <c:pivotFmt>
        <c:idx val="35"/>
        <c:spPr>
          <a:solidFill>
            <a:srgbClr val="188E82"/>
          </a:solidFill>
          <a:ln>
            <a:noFill/>
          </a:ln>
          <a:effectLst/>
        </c:spPr>
      </c:pivotFmt>
      <c:pivotFmt>
        <c:idx val="36"/>
        <c:spPr>
          <a:solidFill>
            <a:srgbClr val="188E82"/>
          </a:solidFill>
          <a:ln>
            <a:noFill/>
          </a:ln>
          <a:effectLst/>
        </c:spPr>
      </c:pivotFmt>
      <c:pivotFmt>
        <c:idx val="37"/>
        <c:spPr>
          <a:solidFill>
            <a:srgbClr val="188E82"/>
          </a:solidFill>
          <a:ln>
            <a:noFill/>
          </a:ln>
          <a:effectLst/>
        </c:spPr>
      </c:pivotFmt>
      <c:pivotFmt>
        <c:idx val="38"/>
        <c:spPr>
          <a:solidFill>
            <a:srgbClr val="188E82"/>
          </a:solidFill>
          <a:ln>
            <a:noFill/>
          </a:ln>
          <a:effectLst/>
        </c:spPr>
      </c:pivotFmt>
      <c:pivotFmt>
        <c:idx val="39"/>
        <c:spPr>
          <a:solidFill>
            <a:srgbClr val="188E82"/>
          </a:solidFill>
          <a:ln>
            <a:noFill/>
          </a:ln>
          <a:effectLst/>
        </c:spPr>
      </c:pivotFmt>
      <c:pivotFmt>
        <c:idx val="40"/>
        <c:spPr>
          <a:solidFill>
            <a:srgbClr val="188E8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188E82"/>
          </a:solidFill>
          <a:ln>
            <a:noFill/>
          </a:ln>
          <a:effectLst/>
        </c:spPr>
      </c:pivotFmt>
      <c:pivotFmt>
        <c:idx val="42"/>
        <c:spPr>
          <a:solidFill>
            <a:srgbClr val="188E82"/>
          </a:solidFill>
          <a:ln>
            <a:noFill/>
          </a:ln>
          <a:effectLst/>
        </c:spPr>
      </c:pivotFmt>
      <c:pivotFmt>
        <c:idx val="43"/>
        <c:spPr>
          <a:solidFill>
            <a:srgbClr val="188E82"/>
          </a:solidFill>
          <a:ln>
            <a:noFill/>
          </a:ln>
          <a:effectLst/>
        </c:spPr>
      </c:pivotFmt>
      <c:pivotFmt>
        <c:idx val="44"/>
        <c:spPr>
          <a:solidFill>
            <a:srgbClr val="188E82"/>
          </a:solidFill>
          <a:ln>
            <a:noFill/>
          </a:ln>
          <a:effectLst/>
        </c:spPr>
      </c:pivotFmt>
      <c:pivotFmt>
        <c:idx val="45"/>
        <c:spPr>
          <a:solidFill>
            <a:srgbClr val="188E82"/>
          </a:solidFill>
          <a:ln>
            <a:noFill/>
          </a:ln>
          <a:effectLst/>
        </c:spPr>
      </c:pivotFmt>
      <c:pivotFmt>
        <c:idx val="46"/>
        <c:spPr>
          <a:solidFill>
            <a:srgbClr val="188E82"/>
          </a:solidFill>
          <a:ln>
            <a:noFill/>
          </a:ln>
          <a:effectLst/>
        </c:spPr>
      </c:pivotFmt>
      <c:pivotFmt>
        <c:idx val="47"/>
        <c:spPr>
          <a:solidFill>
            <a:srgbClr val="188E82"/>
          </a:solidFill>
          <a:ln>
            <a:noFill/>
          </a:ln>
          <a:effectLst/>
        </c:spPr>
      </c:pivotFmt>
      <c:pivotFmt>
        <c:idx val="48"/>
        <c:spPr>
          <a:solidFill>
            <a:srgbClr val="188E82"/>
          </a:solidFill>
          <a:ln>
            <a:noFill/>
          </a:ln>
          <a:effectLst/>
        </c:spPr>
      </c:pivotFmt>
    </c:pivotFmts>
    <c:plotArea>
      <c:layout>
        <c:manualLayout>
          <c:layoutTarget val="inner"/>
          <c:xMode val="edge"/>
          <c:yMode val="edge"/>
          <c:x val="9.5043199922174887E-2"/>
          <c:y val="0.10263829787234041"/>
          <c:w val="0.87131766444709369"/>
          <c:h val="0.53022214776344445"/>
        </c:manualLayout>
      </c:layout>
      <c:barChart>
        <c:barDir val="col"/>
        <c:grouping val="clustered"/>
        <c:varyColors val="1"/>
        <c:ser>
          <c:idx val="0"/>
          <c:order val="0"/>
          <c:tx>
            <c:strRef>
              <c:f>Sheet1!$H$17</c:f>
              <c:strCache>
                <c:ptCount val="1"/>
                <c:pt idx="0">
                  <c:v>Total</c:v>
                </c:pt>
              </c:strCache>
            </c:strRef>
          </c:tx>
          <c:spPr>
            <a:solidFill>
              <a:srgbClr val="188E82"/>
            </a:solidFill>
          </c:spPr>
          <c:invertIfNegative val="0"/>
          <c:dPt>
            <c:idx val="0"/>
            <c:invertIfNegative val="0"/>
            <c:bubble3D val="0"/>
            <c:spPr>
              <a:solidFill>
                <a:srgbClr val="188E82"/>
              </a:solidFill>
              <a:ln>
                <a:noFill/>
              </a:ln>
              <a:effectLst/>
            </c:spPr>
            <c:extLst>
              <c:ext xmlns:c16="http://schemas.microsoft.com/office/drawing/2014/chart" uri="{C3380CC4-5D6E-409C-BE32-E72D297353CC}">
                <c16:uniqueId val="{00000001-E96C-49E9-ABA2-CDC28A50933F}"/>
              </c:ext>
            </c:extLst>
          </c:dPt>
          <c:dPt>
            <c:idx val="1"/>
            <c:invertIfNegative val="0"/>
            <c:bubble3D val="0"/>
            <c:spPr>
              <a:solidFill>
                <a:srgbClr val="188E82"/>
              </a:solidFill>
              <a:ln>
                <a:noFill/>
              </a:ln>
              <a:effectLst/>
            </c:spPr>
            <c:extLst>
              <c:ext xmlns:c16="http://schemas.microsoft.com/office/drawing/2014/chart" uri="{C3380CC4-5D6E-409C-BE32-E72D297353CC}">
                <c16:uniqueId val="{00000003-E96C-49E9-ABA2-CDC28A50933F}"/>
              </c:ext>
            </c:extLst>
          </c:dPt>
          <c:dPt>
            <c:idx val="2"/>
            <c:invertIfNegative val="0"/>
            <c:bubble3D val="0"/>
            <c:spPr>
              <a:solidFill>
                <a:srgbClr val="188E82"/>
              </a:solidFill>
              <a:ln>
                <a:noFill/>
              </a:ln>
              <a:effectLst/>
            </c:spPr>
            <c:extLst>
              <c:ext xmlns:c16="http://schemas.microsoft.com/office/drawing/2014/chart" uri="{C3380CC4-5D6E-409C-BE32-E72D297353CC}">
                <c16:uniqueId val="{00000005-E96C-49E9-ABA2-CDC28A50933F}"/>
              </c:ext>
            </c:extLst>
          </c:dPt>
          <c:dPt>
            <c:idx val="3"/>
            <c:invertIfNegative val="0"/>
            <c:bubble3D val="0"/>
            <c:spPr>
              <a:solidFill>
                <a:srgbClr val="188E82"/>
              </a:solidFill>
              <a:ln>
                <a:noFill/>
              </a:ln>
              <a:effectLst/>
            </c:spPr>
            <c:extLst>
              <c:ext xmlns:c16="http://schemas.microsoft.com/office/drawing/2014/chart" uri="{C3380CC4-5D6E-409C-BE32-E72D297353CC}">
                <c16:uniqueId val="{00000007-E96C-49E9-ABA2-CDC28A50933F}"/>
              </c:ext>
            </c:extLst>
          </c:dPt>
          <c:dPt>
            <c:idx val="4"/>
            <c:invertIfNegative val="0"/>
            <c:bubble3D val="0"/>
            <c:spPr>
              <a:solidFill>
                <a:srgbClr val="188E82"/>
              </a:solidFill>
              <a:ln>
                <a:noFill/>
              </a:ln>
              <a:effectLst/>
            </c:spPr>
            <c:extLst>
              <c:ext xmlns:c16="http://schemas.microsoft.com/office/drawing/2014/chart" uri="{C3380CC4-5D6E-409C-BE32-E72D297353CC}">
                <c16:uniqueId val="{00000009-E96C-49E9-ABA2-CDC28A50933F}"/>
              </c:ext>
            </c:extLst>
          </c:dPt>
          <c:dPt>
            <c:idx val="5"/>
            <c:invertIfNegative val="0"/>
            <c:bubble3D val="0"/>
            <c:spPr>
              <a:solidFill>
                <a:srgbClr val="188E82"/>
              </a:solidFill>
              <a:ln>
                <a:noFill/>
              </a:ln>
              <a:effectLst/>
            </c:spPr>
            <c:extLst>
              <c:ext xmlns:c16="http://schemas.microsoft.com/office/drawing/2014/chart" uri="{C3380CC4-5D6E-409C-BE32-E72D297353CC}">
                <c16:uniqueId val="{0000000B-E96C-49E9-ABA2-CDC28A50933F}"/>
              </c:ext>
            </c:extLst>
          </c:dPt>
          <c:dPt>
            <c:idx val="6"/>
            <c:invertIfNegative val="0"/>
            <c:bubble3D val="0"/>
            <c:spPr>
              <a:solidFill>
                <a:srgbClr val="188E82"/>
              </a:solidFill>
              <a:ln>
                <a:noFill/>
              </a:ln>
              <a:effectLst/>
            </c:spPr>
            <c:extLst>
              <c:ext xmlns:c16="http://schemas.microsoft.com/office/drawing/2014/chart" uri="{C3380CC4-5D6E-409C-BE32-E72D297353CC}">
                <c16:uniqueId val="{0000000D-E96C-49E9-ABA2-CDC28A50933F}"/>
              </c:ext>
            </c:extLst>
          </c:dPt>
          <c:dPt>
            <c:idx val="7"/>
            <c:invertIfNegative val="0"/>
            <c:bubble3D val="0"/>
            <c:spPr>
              <a:solidFill>
                <a:srgbClr val="188E82"/>
              </a:solidFill>
              <a:ln>
                <a:noFill/>
              </a:ln>
              <a:effectLst/>
            </c:spPr>
            <c:extLst>
              <c:ext xmlns:c16="http://schemas.microsoft.com/office/drawing/2014/chart" uri="{C3380CC4-5D6E-409C-BE32-E72D297353CC}">
                <c16:uniqueId val="{0000000F-E96C-49E9-ABA2-CDC28A50933F}"/>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Sheet1!$G$18:$G$26</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Sheet1!$H$18:$H$26</c:f>
              <c:numCache>
                <c:formatCode>0</c:formatCode>
                <c:ptCount val="8"/>
                <c:pt idx="0">
                  <c:v>13.259541984732824</c:v>
                </c:pt>
                <c:pt idx="1">
                  <c:v>25.993197278911566</c:v>
                </c:pt>
                <c:pt idx="2">
                  <c:v>13.726708074534162</c:v>
                </c:pt>
                <c:pt idx="3">
                  <c:v>60.860606060606059</c:v>
                </c:pt>
                <c:pt idx="4">
                  <c:v>19.100671140939596</c:v>
                </c:pt>
                <c:pt idx="5">
                  <c:v>38.034013605442176</c:v>
                </c:pt>
                <c:pt idx="6">
                  <c:v>39.263157894736842</c:v>
                </c:pt>
                <c:pt idx="7">
                  <c:v>6.9459459459459456</c:v>
                </c:pt>
              </c:numCache>
            </c:numRef>
          </c:val>
          <c:extLst>
            <c:ext xmlns:c16="http://schemas.microsoft.com/office/drawing/2014/chart" uri="{C3380CC4-5D6E-409C-BE32-E72D297353CC}">
              <c16:uniqueId val="{00000010-E96C-49E9-ABA2-CDC28A50933F}"/>
            </c:ext>
          </c:extLst>
        </c:ser>
        <c:dLbls>
          <c:dLblPos val="outEnd"/>
          <c:showLegendKey val="0"/>
          <c:showVal val="1"/>
          <c:showCatName val="0"/>
          <c:showSerName val="0"/>
          <c:showPercent val="0"/>
          <c:showBubbleSize val="0"/>
        </c:dLbls>
        <c:gapWidth val="20"/>
        <c:axId val="344945631"/>
        <c:axId val="344941791"/>
      </c:barChart>
      <c:catAx>
        <c:axId val="3449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941791"/>
        <c:crosses val="autoZero"/>
        <c:auto val="1"/>
        <c:lblAlgn val="ctr"/>
        <c:lblOffset val="100"/>
        <c:noMultiLvlLbl val="0"/>
      </c:catAx>
      <c:valAx>
        <c:axId val="344941791"/>
        <c:scaling>
          <c:orientation val="minMax"/>
        </c:scaling>
        <c:delete val="1"/>
        <c:axPos val="l"/>
        <c:numFmt formatCode="0" sourceLinked="1"/>
        <c:majorTickMark val="none"/>
        <c:minorTickMark val="none"/>
        <c:tickLblPos val="nextTo"/>
        <c:crossAx val="34494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gif"/><Relationship Id="rId7" Type="http://schemas.openxmlformats.org/officeDocument/2006/relationships/chart" Target="../charts/chart9.xml"/><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image" Target="../media/image5.gif"/><Relationship Id="rId4" Type="http://schemas.openxmlformats.org/officeDocument/2006/relationships/image" Target="../media/image4.gif"/><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285750</xdr:colOff>
      <xdr:row>0</xdr:row>
      <xdr:rowOff>76200</xdr:rowOff>
    </xdr:from>
    <xdr:to>
      <xdr:col>11</xdr:col>
      <xdr:colOff>209550</xdr:colOff>
      <xdr:row>12</xdr:row>
      <xdr:rowOff>9525</xdr:rowOff>
    </xdr:to>
    <xdr:graphicFrame macro="">
      <xdr:nvGraphicFramePr>
        <xdr:cNvPr id="3" name="Chart 2">
          <a:extLst>
            <a:ext uri="{FF2B5EF4-FFF2-40B4-BE49-F238E27FC236}">
              <a16:creationId xmlns:a16="http://schemas.microsoft.com/office/drawing/2014/main" id="{1E345567-5BF2-4FBB-ACF9-6EA624FD0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14</xdr:row>
      <xdr:rowOff>171450</xdr:rowOff>
    </xdr:from>
    <xdr:to>
      <xdr:col>13</xdr:col>
      <xdr:colOff>333375</xdr:colOff>
      <xdr:row>25</xdr:row>
      <xdr:rowOff>85725</xdr:rowOff>
    </xdr:to>
    <xdr:graphicFrame macro="">
      <xdr:nvGraphicFramePr>
        <xdr:cNvPr id="4" name="Chart 3">
          <a:extLst>
            <a:ext uri="{FF2B5EF4-FFF2-40B4-BE49-F238E27FC236}">
              <a16:creationId xmlns:a16="http://schemas.microsoft.com/office/drawing/2014/main" id="{0DBE7080-2FFC-4CEE-8B0D-613F78796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466725</xdr:colOff>
      <xdr:row>0</xdr:row>
      <xdr:rowOff>142875</xdr:rowOff>
    </xdr:from>
    <xdr:to>
      <xdr:col>19</xdr:col>
      <xdr:colOff>57150</xdr:colOff>
      <xdr:row>11</xdr:row>
      <xdr:rowOff>76200</xdr:rowOff>
    </xdr:to>
    <xdr:graphicFrame macro="">
      <xdr:nvGraphicFramePr>
        <xdr:cNvPr id="5" name="Chart 4">
          <a:extLst>
            <a:ext uri="{FF2B5EF4-FFF2-40B4-BE49-F238E27FC236}">
              <a16:creationId xmlns:a16="http://schemas.microsoft.com/office/drawing/2014/main" id="{AF546ECE-E307-446A-9B15-8AD4D3F8E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28575</xdr:rowOff>
    </xdr:from>
    <xdr:to>
      <xdr:col>5</xdr:col>
      <xdr:colOff>552450</xdr:colOff>
      <xdr:row>26</xdr:row>
      <xdr:rowOff>57150</xdr:rowOff>
    </xdr:to>
    <xdr:graphicFrame macro="">
      <xdr:nvGraphicFramePr>
        <xdr:cNvPr id="6" name="Chart 5">
          <a:extLst>
            <a:ext uri="{FF2B5EF4-FFF2-40B4-BE49-F238E27FC236}">
              <a16:creationId xmlns:a16="http://schemas.microsoft.com/office/drawing/2014/main" id="{984B07E2-B3FE-4FE5-89A2-F9D2016BA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447675</xdr:colOff>
      <xdr:row>13</xdr:row>
      <xdr:rowOff>171450</xdr:rowOff>
    </xdr:from>
    <xdr:to>
      <xdr:col>20</xdr:col>
      <xdr:colOff>142875</xdr:colOff>
      <xdr:row>28</xdr:row>
      <xdr:rowOff>57150</xdr:rowOff>
    </xdr:to>
    <xdr:graphicFrame macro="">
      <xdr:nvGraphicFramePr>
        <xdr:cNvPr id="7" name="Chart 6">
          <a:extLst>
            <a:ext uri="{FF2B5EF4-FFF2-40B4-BE49-F238E27FC236}">
              <a16:creationId xmlns:a16="http://schemas.microsoft.com/office/drawing/2014/main" id="{5D37B406-2030-46B3-A140-B22BF7A8C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5</xdr:col>
      <xdr:colOff>333375</xdr:colOff>
      <xdr:row>14</xdr:row>
      <xdr:rowOff>76200</xdr:rowOff>
    </xdr:to>
    <xdr:graphicFrame macro="">
      <xdr:nvGraphicFramePr>
        <xdr:cNvPr id="14" name="Chart 13">
          <a:extLst>
            <a:ext uri="{FF2B5EF4-FFF2-40B4-BE49-F238E27FC236}">
              <a16:creationId xmlns:a16="http://schemas.microsoft.com/office/drawing/2014/main" id="{F63492F1-659E-4726-8443-87FD50F64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156399</xdr:colOff>
      <xdr:row>0</xdr:row>
      <xdr:rowOff>129923</xdr:rowOff>
    </xdr:from>
    <xdr:to>
      <xdr:col>20</xdr:col>
      <xdr:colOff>253074</xdr:colOff>
      <xdr:row>29</xdr:row>
      <xdr:rowOff>158499</xdr:rowOff>
    </xdr:to>
    <xdr:sp macro="" textlink="">
      <xdr:nvSpPr>
        <xdr:cNvPr id="2" name="Rectangle 1">
          <a:extLst>
            <a:ext uri="{FF2B5EF4-FFF2-40B4-BE49-F238E27FC236}">
              <a16:creationId xmlns:a16="http://schemas.microsoft.com/office/drawing/2014/main" id="{773CCD21-0F0B-C20C-F971-62E6C4FB8D7C}"/>
            </a:ext>
          </a:extLst>
        </xdr:cNvPr>
        <xdr:cNvSpPr/>
      </xdr:nvSpPr>
      <xdr:spPr>
        <a:xfrm>
          <a:off x="156399" y="129923"/>
          <a:ext cx="12343104" cy="5355772"/>
        </a:xfrm>
        <a:prstGeom prst="rect">
          <a:avLst/>
        </a:prstGeom>
        <a:gradFill flip="none" rotWithShape="1">
          <a:gsLst>
            <a:gs pos="0">
              <a:srgbClr val="0F6D6D">
                <a:shade val="30000"/>
                <a:satMod val="115000"/>
              </a:srgbClr>
            </a:gs>
            <a:gs pos="50000">
              <a:srgbClr val="0F6D6D">
                <a:shade val="67500"/>
                <a:satMod val="115000"/>
              </a:srgbClr>
            </a:gs>
            <a:gs pos="100000">
              <a:srgbClr val="0F6D6D">
                <a:shade val="100000"/>
                <a:satMod val="115000"/>
              </a:srgbClr>
            </a:gs>
          </a:gsLst>
          <a:lin ang="81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465394</xdr:colOff>
      <xdr:row>19</xdr:row>
      <xdr:rowOff>139449</xdr:rowOff>
    </xdr:from>
    <xdr:to>
      <xdr:col>14</xdr:col>
      <xdr:colOff>532068</xdr:colOff>
      <xdr:row>29</xdr:row>
      <xdr:rowOff>108404</xdr:rowOff>
    </xdr:to>
    <xdr:sp macro="" textlink="">
      <xdr:nvSpPr>
        <xdr:cNvPr id="3" name="Rectangle: Rounded Corners 2">
          <a:extLst>
            <a:ext uri="{FF2B5EF4-FFF2-40B4-BE49-F238E27FC236}">
              <a16:creationId xmlns:a16="http://schemas.microsoft.com/office/drawing/2014/main" id="{A81209AF-C536-97C9-A99B-C19A989BBAE6}"/>
            </a:ext>
          </a:extLst>
        </xdr:cNvPr>
        <xdr:cNvSpPr/>
      </xdr:nvSpPr>
      <xdr:spPr>
        <a:xfrm>
          <a:off x="4139323" y="3629681"/>
          <a:ext cx="4965245" cy="1805919"/>
        </a:xfrm>
        <a:prstGeom prst="roundRect">
          <a:avLst>
            <a:gd name="adj" fmla="val 9467"/>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590566</xdr:colOff>
      <xdr:row>19</xdr:row>
      <xdr:rowOff>139449</xdr:rowOff>
    </xdr:from>
    <xdr:to>
      <xdr:col>20</xdr:col>
      <xdr:colOff>186397</xdr:colOff>
      <xdr:row>29</xdr:row>
      <xdr:rowOff>108404</xdr:rowOff>
    </xdr:to>
    <xdr:sp macro="" textlink="">
      <xdr:nvSpPr>
        <xdr:cNvPr id="4" name="Rectangle: Rounded Corners 3">
          <a:extLst>
            <a:ext uri="{FF2B5EF4-FFF2-40B4-BE49-F238E27FC236}">
              <a16:creationId xmlns:a16="http://schemas.microsoft.com/office/drawing/2014/main" id="{D215B636-4D3C-4392-9190-D3388BF54E37}"/>
            </a:ext>
          </a:extLst>
        </xdr:cNvPr>
        <xdr:cNvSpPr/>
      </xdr:nvSpPr>
      <xdr:spPr>
        <a:xfrm>
          <a:off x="9163066" y="3629681"/>
          <a:ext cx="3269760" cy="1805919"/>
        </a:xfrm>
        <a:prstGeom prst="roundRect">
          <a:avLst>
            <a:gd name="adj" fmla="val 9921"/>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272122</xdr:colOff>
      <xdr:row>8</xdr:row>
      <xdr:rowOff>89354</xdr:rowOff>
    </xdr:from>
    <xdr:to>
      <xdr:col>5</xdr:col>
      <xdr:colOff>243548</xdr:colOff>
      <xdr:row>19</xdr:row>
      <xdr:rowOff>71987</xdr:rowOff>
    </xdr:to>
    <xdr:sp macro="" textlink="">
      <xdr:nvSpPr>
        <xdr:cNvPr id="5" name="Rectangle: Rounded Corners 4">
          <a:extLst>
            <a:ext uri="{FF2B5EF4-FFF2-40B4-BE49-F238E27FC236}">
              <a16:creationId xmlns:a16="http://schemas.microsoft.com/office/drawing/2014/main" id="{BF1B73D0-8DAF-49F1-8172-08B2471D04DD}"/>
            </a:ext>
          </a:extLst>
        </xdr:cNvPr>
        <xdr:cNvSpPr/>
      </xdr:nvSpPr>
      <xdr:spPr>
        <a:xfrm>
          <a:off x="272122" y="1558925"/>
          <a:ext cx="3033033" cy="2003294"/>
        </a:xfrm>
        <a:prstGeom prst="roundRect">
          <a:avLst>
            <a:gd name="adj" fmla="val 11251"/>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272122</xdr:colOff>
      <xdr:row>19</xdr:row>
      <xdr:rowOff>129924</xdr:rowOff>
    </xdr:from>
    <xdr:to>
      <xdr:col>6</xdr:col>
      <xdr:colOff>408244</xdr:colOff>
      <xdr:row>29</xdr:row>
      <xdr:rowOff>108404</xdr:rowOff>
    </xdr:to>
    <xdr:sp macro="" textlink="">
      <xdr:nvSpPr>
        <xdr:cNvPr id="7" name="Rectangle: Rounded Corners 6">
          <a:extLst>
            <a:ext uri="{FF2B5EF4-FFF2-40B4-BE49-F238E27FC236}">
              <a16:creationId xmlns:a16="http://schemas.microsoft.com/office/drawing/2014/main" id="{46D64237-CE78-4972-8E2D-48CF7F218581}"/>
            </a:ext>
          </a:extLst>
        </xdr:cNvPr>
        <xdr:cNvSpPr/>
      </xdr:nvSpPr>
      <xdr:spPr>
        <a:xfrm>
          <a:off x="272122" y="3620156"/>
          <a:ext cx="3810051" cy="1815444"/>
        </a:xfrm>
        <a:prstGeom prst="roundRect">
          <a:avLst>
            <a:gd name="adj" fmla="val 10110"/>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310222</xdr:colOff>
      <xdr:row>8</xdr:row>
      <xdr:rowOff>89355</xdr:rowOff>
    </xdr:from>
    <xdr:to>
      <xdr:col>11</xdr:col>
      <xdr:colOff>474919</xdr:colOff>
      <xdr:row>19</xdr:row>
      <xdr:rowOff>71988</xdr:rowOff>
    </xdr:to>
    <xdr:sp macro="" textlink="">
      <xdr:nvSpPr>
        <xdr:cNvPr id="8" name="Rectangle: Rounded Corners 7">
          <a:extLst>
            <a:ext uri="{FF2B5EF4-FFF2-40B4-BE49-F238E27FC236}">
              <a16:creationId xmlns:a16="http://schemas.microsoft.com/office/drawing/2014/main" id="{C43C4CAB-DB44-4337-B99F-C5242ED90914}"/>
            </a:ext>
          </a:extLst>
        </xdr:cNvPr>
        <xdr:cNvSpPr/>
      </xdr:nvSpPr>
      <xdr:spPr>
        <a:xfrm>
          <a:off x="3371829" y="1558926"/>
          <a:ext cx="3838626" cy="2003294"/>
        </a:xfrm>
        <a:prstGeom prst="roundRect">
          <a:avLst>
            <a:gd name="adj" fmla="val 10391"/>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243548</xdr:colOff>
      <xdr:row>1</xdr:row>
      <xdr:rowOff>12903</xdr:rowOff>
    </xdr:from>
    <xdr:to>
      <xdr:col>17</xdr:col>
      <xdr:colOff>127824</xdr:colOff>
      <xdr:row>4</xdr:row>
      <xdr:rowOff>79828</xdr:rowOff>
    </xdr:to>
    <xdr:sp macro="" textlink="">
      <xdr:nvSpPr>
        <xdr:cNvPr id="25" name="Rectangle: Rounded Corners 24">
          <a:extLst>
            <a:ext uri="{FF2B5EF4-FFF2-40B4-BE49-F238E27FC236}">
              <a16:creationId xmlns:a16="http://schemas.microsoft.com/office/drawing/2014/main" id="{1A9F48E1-FC5D-1AF5-7992-3A475179254C}"/>
            </a:ext>
          </a:extLst>
        </xdr:cNvPr>
        <xdr:cNvSpPr/>
      </xdr:nvSpPr>
      <xdr:spPr>
        <a:xfrm>
          <a:off x="243548" y="196599"/>
          <a:ext cx="10293740" cy="618015"/>
        </a:xfrm>
        <a:prstGeom prst="roundRect">
          <a:avLst/>
        </a:prstGeom>
        <a:gradFill flip="none" rotWithShape="1">
          <a:gsLst>
            <a:gs pos="0">
              <a:srgbClr val="188E82">
                <a:shade val="30000"/>
                <a:satMod val="115000"/>
              </a:srgbClr>
            </a:gs>
            <a:gs pos="50000">
              <a:srgbClr val="188E82">
                <a:shade val="67500"/>
                <a:satMod val="115000"/>
              </a:srgbClr>
            </a:gs>
            <a:gs pos="100000">
              <a:srgbClr val="188E82">
                <a:shade val="100000"/>
                <a:satMod val="115000"/>
              </a:srgbClr>
            </a:gs>
          </a:gsLst>
          <a:lin ang="5400000" scaled="1"/>
          <a:tileRect/>
        </a:grad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solidFill>
                <a:srgbClr val="C4F2EE"/>
              </a:solidFill>
              <a:latin typeface="Times New Roman" panose="02020603050405020304" pitchFamily="18" charset="0"/>
              <a:cs typeface="Times New Roman" panose="02020603050405020304" pitchFamily="18" charset="0"/>
            </a:rPr>
            <a:t>Banking Complaint Analysis Dashboard</a:t>
          </a:r>
        </a:p>
      </xdr:txBody>
    </xdr:sp>
    <xdr:clientData/>
  </xdr:twoCellAnchor>
  <xdr:twoCellAnchor>
    <xdr:from>
      <xdr:col>0</xdr:col>
      <xdr:colOff>281647</xdr:colOff>
      <xdr:row>4</xdr:row>
      <xdr:rowOff>148972</xdr:rowOff>
    </xdr:from>
    <xdr:to>
      <xdr:col>4</xdr:col>
      <xdr:colOff>224497</xdr:colOff>
      <xdr:row>8</xdr:row>
      <xdr:rowOff>31950</xdr:rowOff>
    </xdr:to>
    <xdr:sp macro="" textlink="">
      <xdr:nvSpPr>
        <xdr:cNvPr id="26" name="Rectangle 25">
          <a:extLst>
            <a:ext uri="{FF2B5EF4-FFF2-40B4-BE49-F238E27FC236}">
              <a16:creationId xmlns:a16="http://schemas.microsoft.com/office/drawing/2014/main" id="{AF962512-DDA0-43A1-8B10-BC9B65423A36}"/>
            </a:ext>
          </a:extLst>
        </xdr:cNvPr>
        <xdr:cNvSpPr/>
      </xdr:nvSpPr>
      <xdr:spPr>
        <a:xfrm>
          <a:off x="281647" y="883758"/>
          <a:ext cx="2392136" cy="617763"/>
        </a:xfrm>
        <a:prstGeom prst="rect">
          <a:avLst/>
        </a:prstGeom>
        <a:solidFill>
          <a:srgbClr val="188E82"/>
        </a:solidFill>
        <a:ln>
          <a:solidFill>
            <a:srgbClr val="C4F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1">
              <a:latin typeface="Times New Roman" panose="02020603050405020304" pitchFamily="18" charset="0"/>
              <a:cs typeface="Times New Roman" panose="02020603050405020304" pitchFamily="18" charset="0"/>
            </a:rPr>
            <a:t>TOTAL COMPLAINTS</a:t>
          </a:r>
        </a:p>
      </xdr:txBody>
    </xdr:sp>
    <xdr:clientData/>
  </xdr:twoCellAnchor>
  <xdr:twoCellAnchor>
    <xdr:from>
      <xdr:col>1</xdr:col>
      <xdr:colOff>493968</xdr:colOff>
      <xdr:row>4</xdr:row>
      <xdr:rowOff>31951</xdr:rowOff>
    </xdr:from>
    <xdr:to>
      <xdr:col>3</xdr:col>
      <xdr:colOff>448247</xdr:colOff>
      <xdr:row>7</xdr:row>
      <xdr:rowOff>20408</xdr:rowOff>
    </xdr:to>
    <xdr:sp macro="" textlink="$W$32">
      <xdr:nvSpPr>
        <xdr:cNvPr id="27" name="TextBox 26">
          <a:extLst>
            <a:ext uri="{FF2B5EF4-FFF2-40B4-BE49-F238E27FC236}">
              <a16:creationId xmlns:a16="http://schemas.microsoft.com/office/drawing/2014/main" id="{AE2859DB-C299-1FAC-E07A-3862BBF4FEC0}"/>
            </a:ext>
          </a:extLst>
        </xdr:cNvPr>
        <xdr:cNvSpPr txBox="1"/>
      </xdr:nvSpPr>
      <xdr:spPr>
        <a:xfrm>
          <a:off x="1106289" y="766737"/>
          <a:ext cx="1178922" cy="53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065653-BDF4-4037-AB27-8BCF91076AD2}" type="TxLink">
            <a:rPr lang="en-US" sz="3600" b="1" i="0" u="none" strike="noStrike">
              <a:solidFill>
                <a:schemeClr val="bg1"/>
              </a:solidFill>
              <a:latin typeface="Calibri"/>
              <a:ea typeface="Calibri"/>
              <a:cs typeface="Calibri"/>
            </a:rPr>
            <a:pPr algn="ctr"/>
            <a:t>1200</a:t>
          </a:fld>
          <a:endParaRPr lang="en-US" sz="3600" b="1">
            <a:solidFill>
              <a:schemeClr val="bg1"/>
            </a:solidFill>
          </a:endParaRPr>
        </a:p>
      </xdr:txBody>
    </xdr:sp>
    <xdr:clientData/>
  </xdr:twoCellAnchor>
  <xdr:twoCellAnchor>
    <xdr:from>
      <xdr:col>8</xdr:col>
      <xdr:colOff>427293</xdr:colOff>
      <xdr:row>4</xdr:row>
      <xdr:rowOff>52935</xdr:rowOff>
    </xdr:from>
    <xdr:to>
      <xdr:col>12</xdr:col>
      <xdr:colOff>561993</xdr:colOff>
      <xdr:row>8</xdr:row>
      <xdr:rowOff>31951</xdr:rowOff>
    </xdr:to>
    <xdr:grpSp>
      <xdr:nvGrpSpPr>
        <xdr:cNvPr id="35" name="Group 34">
          <a:extLst>
            <a:ext uri="{FF2B5EF4-FFF2-40B4-BE49-F238E27FC236}">
              <a16:creationId xmlns:a16="http://schemas.microsoft.com/office/drawing/2014/main" id="{291CB629-6B7C-D8CD-0D56-2630F65A7560}"/>
            </a:ext>
          </a:extLst>
        </xdr:cNvPr>
        <xdr:cNvGrpSpPr/>
      </xdr:nvGrpSpPr>
      <xdr:grpSpPr>
        <a:xfrm>
          <a:off x="5325864" y="787721"/>
          <a:ext cx="2583986" cy="713801"/>
          <a:chOff x="4419601" y="1541312"/>
          <a:chExt cx="2771774" cy="801838"/>
        </a:xfrm>
      </xdr:grpSpPr>
      <xdr:sp macro="" textlink="">
        <xdr:nvSpPr>
          <xdr:cNvPr id="10" name="Rectangle 9">
            <a:extLst>
              <a:ext uri="{FF2B5EF4-FFF2-40B4-BE49-F238E27FC236}">
                <a16:creationId xmlns:a16="http://schemas.microsoft.com/office/drawing/2014/main" id="{F9C9EF87-5C85-3E4A-C711-8525AD56D4EB}"/>
              </a:ext>
            </a:extLst>
          </xdr:cNvPr>
          <xdr:cNvSpPr/>
        </xdr:nvSpPr>
        <xdr:spPr>
          <a:xfrm>
            <a:off x="4419601" y="1657350"/>
            <a:ext cx="2771774" cy="685800"/>
          </a:xfrm>
          <a:prstGeom prst="rect">
            <a:avLst/>
          </a:prstGeom>
          <a:solidFill>
            <a:srgbClr val="188E82"/>
          </a:solidFill>
          <a:ln>
            <a:solidFill>
              <a:srgbClr val="C4F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400" b="1" i="1">
                <a:solidFill>
                  <a:schemeClr val="lt1"/>
                </a:solidFill>
                <a:latin typeface="Times New Roman" panose="02020603050405020304" pitchFamily="18" charset="0"/>
                <a:ea typeface="+mn-ea"/>
                <a:cs typeface="Times New Roman" panose="02020603050405020304" pitchFamily="18" charset="0"/>
              </a:rPr>
              <a:t>Resolved Percentage</a:t>
            </a:r>
          </a:p>
        </xdr:txBody>
      </xdr:sp>
      <xdr:sp macro="" textlink="$Y$35">
        <xdr:nvSpPr>
          <xdr:cNvPr id="28" name="TextBox 27">
            <a:extLst>
              <a:ext uri="{FF2B5EF4-FFF2-40B4-BE49-F238E27FC236}">
                <a16:creationId xmlns:a16="http://schemas.microsoft.com/office/drawing/2014/main" id="{0E54789A-E383-476C-A822-5D12A20438D6}"/>
              </a:ext>
            </a:extLst>
          </xdr:cNvPr>
          <xdr:cNvSpPr txBox="1"/>
        </xdr:nvSpPr>
        <xdr:spPr>
          <a:xfrm>
            <a:off x="5464695" y="1541312"/>
            <a:ext cx="1229323" cy="57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82ED56-0F3D-4716-841A-F307E9DB91AA}" type="TxLink">
              <a:rPr lang="en-US" sz="3600" b="1" i="0" u="none" strike="noStrike">
                <a:solidFill>
                  <a:schemeClr val="bg1"/>
                </a:solidFill>
                <a:latin typeface="Calibri"/>
                <a:ea typeface="Calibri"/>
                <a:cs typeface="Calibri"/>
              </a:rPr>
              <a:pPr marL="0" indent="0" algn="ctr"/>
              <a:t>65%</a:t>
            </a:fld>
            <a:endParaRPr lang="en-US" sz="3600" b="1" i="0" u="none" strike="noStrike">
              <a:solidFill>
                <a:schemeClr val="bg1"/>
              </a:solidFill>
              <a:latin typeface="Calibri"/>
              <a:ea typeface="Calibri"/>
              <a:cs typeface="Calibri"/>
            </a:endParaRPr>
          </a:p>
        </xdr:txBody>
      </xdr:sp>
    </xdr:grpSp>
    <xdr:clientData/>
  </xdr:twoCellAnchor>
  <xdr:twoCellAnchor>
    <xdr:from>
      <xdr:col>13</xdr:col>
      <xdr:colOff>13522</xdr:colOff>
      <xdr:row>4</xdr:row>
      <xdr:rowOff>41475</xdr:rowOff>
    </xdr:from>
    <xdr:to>
      <xdr:col>17</xdr:col>
      <xdr:colOff>108773</xdr:colOff>
      <xdr:row>8</xdr:row>
      <xdr:rowOff>31950</xdr:rowOff>
    </xdr:to>
    <xdr:grpSp>
      <xdr:nvGrpSpPr>
        <xdr:cNvPr id="36" name="Group 35">
          <a:extLst>
            <a:ext uri="{FF2B5EF4-FFF2-40B4-BE49-F238E27FC236}">
              <a16:creationId xmlns:a16="http://schemas.microsoft.com/office/drawing/2014/main" id="{82BCC441-59F2-FCC2-3820-15F1711F0822}"/>
            </a:ext>
          </a:extLst>
        </xdr:cNvPr>
        <xdr:cNvGrpSpPr/>
      </xdr:nvGrpSpPr>
      <xdr:grpSpPr>
        <a:xfrm>
          <a:off x="7973701" y="776261"/>
          <a:ext cx="2544536" cy="725260"/>
          <a:chOff x="4341360" y="2295524"/>
          <a:chExt cx="2762250" cy="771526"/>
        </a:xfrm>
      </xdr:grpSpPr>
      <xdr:sp macro="" textlink="">
        <xdr:nvSpPr>
          <xdr:cNvPr id="19" name="Rectangle 18">
            <a:extLst>
              <a:ext uri="{FF2B5EF4-FFF2-40B4-BE49-F238E27FC236}">
                <a16:creationId xmlns:a16="http://schemas.microsoft.com/office/drawing/2014/main" id="{894CBEC4-498E-44F0-9EB6-9CBE915CEC06}"/>
              </a:ext>
            </a:extLst>
          </xdr:cNvPr>
          <xdr:cNvSpPr/>
        </xdr:nvSpPr>
        <xdr:spPr>
          <a:xfrm>
            <a:off x="4341360" y="2409826"/>
            <a:ext cx="2762250" cy="657224"/>
          </a:xfrm>
          <a:prstGeom prst="rect">
            <a:avLst/>
          </a:prstGeom>
          <a:solidFill>
            <a:srgbClr val="188E82"/>
          </a:solidFill>
          <a:ln>
            <a:solidFill>
              <a:srgbClr val="C4F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1">
                <a:latin typeface="Times New Roman" panose="02020603050405020304" pitchFamily="18" charset="0"/>
                <a:cs typeface="Times New Roman" panose="02020603050405020304" pitchFamily="18" charset="0"/>
              </a:rPr>
              <a:t>Average Rating</a:t>
            </a:r>
          </a:p>
        </xdr:txBody>
      </xdr:sp>
      <xdr:sp macro="" textlink="$W$35">
        <xdr:nvSpPr>
          <xdr:cNvPr id="29" name="TextBox 28">
            <a:extLst>
              <a:ext uri="{FF2B5EF4-FFF2-40B4-BE49-F238E27FC236}">
                <a16:creationId xmlns:a16="http://schemas.microsoft.com/office/drawing/2014/main" id="{E5AD6C7E-8E27-4FFF-8E42-0DAF2B25AFC3}"/>
              </a:ext>
            </a:extLst>
          </xdr:cNvPr>
          <xdr:cNvSpPr txBox="1"/>
        </xdr:nvSpPr>
        <xdr:spPr>
          <a:xfrm>
            <a:off x="5362058" y="2295524"/>
            <a:ext cx="1136882" cy="56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883070-99B9-44AF-8424-1E3415B50273}" type="TxLink">
              <a:rPr lang="en-US" sz="3600" b="1" i="0" u="none" strike="noStrike">
                <a:solidFill>
                  <a:schemeClr val="bg1"/>
                </a:solidFill>
                <a:latin typeface="Calibri"/>
                <a:ea typeface="Calibri"/>
                <a:cs typeface="Calibri"/>
              </a:rPr>
              <a:pPr marL="0" indent="0" algn="ctr"/>
              <a:t>3.2</a:t>
            </a:fld>
            <a:endParaRPr lang="en-US" sz="3600" b="1" i="0" u="none" strike="noStrike">
              <a:solidFill>
                <a:schemeClr val="bg1"/>
              </a:solidFill>
              <a:latin typeface="Calibri"/>
              <a:ea typeface="Calibri"/>
              <a:cs typeface="Calibri"/>
            </a:endParaRPr>
          </a:p>
        </xdr:txBody>
      </xdr:sp>
    </xdr:grpSp>
    <xdr:clientData/>
  </xdr:twoCellAnchor>
  <xdr:twoCellAnchor>
    <xdr:from>
      <xdr:col>4</xdr:col>
      <xdr:colOff>300696</xdr:colOff>
      <xdr:row>4</xdr:row>
      <xdr:rowOff>148972</xdr:rowOff>
    </xdr:from>
    <xdr:to>
      <xdr:col>8</xdr:col>
      <xdr:colOff>386422</xdr:colOff>
      <xdr:row>8</xdr:row>
      <xdr:rowOff>31950</xdr:rowOff>
    </xdr:to>
    <xdr:sp macro="" textlink="">
      <xdr:nvSpPr>
        <xdr:cNvPr id="18" name="Rectangle 17">
          <a:extLst>
            <a:ext uri="{FF2B5EF4-FFF2-40B4-BE49-F238E27FC236}">
              <a16:creationId xmlns:a16="http://schemas.microsoft.com/office/drawing/2014/main" id="{3596C284-C490-44C3-8D6E-B8DF194D7488}"/>
            </a:ext>
          </a:extLst>
        </xdr:cNvPr>
        <xdr:cNvSpPr/>
      </xdr:nvSpPr>
      <xdr:spPr>
        <a:xfrm>
          <a:off x="2749982" y="883758"/>
          <a:ext cx="2535011" cy="617763"/>
        </a:xfrm>
        <a:prstGeom prst="rect">
          <a:avLst/>
        </a:prstGeom>
        <a:solidFill>
          <a:srgbClr val="188E82"/>
        </a:solidFill>
        <a:ln w="28575">
          <a:solidFill>
            <a:srgbClr val="C4F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400" b="1" i="1">
              <a:solidFill>
                <a:schemeClr val="lt1"/>
              </a:solidFill>
              <a:latin typeface="Times New Roman" panose="02020603050405020304" pitchFamily="18" charset="0"/>
              <a:ea typeface="+mn-ea"/>
              <a:cs typeface="Times New Roman" panose="02020603050405020304" pitchFamily="18" charset="0"/>
            </a:rPr>
            <a:t>Average Resolution Time</a:t>
          </a:r>
        </a:p>
      </xdr:txBody>
    </xdr:sp>
    <xdr:clientData/>
  </xdr:twoCellAnchor>
  <xdr:twoCellAnchor editAs="oneCell">
    <xdr:from>
      <xdr:col>15</xdr:col>
      <xdr:colOff>175449</xdr:colOff>
      <xdr:row>1</xdr:row>
      <xdr:rowOff>110873</xdr:rowOff>
    </xdr:from>
    <xdr:to>
      <xdr:col>16</xdr:col>
      <xdr:colOff>552466</xdr:colOff>
      <xdr:row>3</xdr:row>
      <xdr:rowOff>177548</xdr:rowOff>
    </xdr:to>
    <xdr:pic>
      <xdr:nvPicPr>
        <xdr:cNvPr id="41" name="Picture 40">
          <a:extLst>
            <a:ext uri="{FF2B5EF4-FFF2-40B4-BE49-F238E27FC236}">
              <a16:creationId xmlns:a16="http://schemas.microsoft.com/office/drawing/2014/main" id="{B4C4D00D-BFA9-4638-9D0E-18D552321374}"/>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9360270" y="294569"/>
          <a:ext cx="989339" cy="434068"/>
        </a:xfrm>
        <a:prstGeom prst="rect">
          <a:avLst/>
        </a:prstGeom>
        <a:noFill/>
        <a:ln>
          <a:noFill/>
        </a:ln>
      </xdr:spPr>
    </xdr:pic>
    <xdr:clientData/>
  </xdr:twoCellAnchor>
  <xdr:twoCellAnchor editAs="oneCell">
    <xdr:from>
      <xdr:col>1</xdr:col>
      <xdr:colOff>243548</xdr:colOff>
      <xdr:row>5</xdr:row>
      <xdr:rowOff>31952</xdr:rowOff>
    </xdr:from>
    <xdr:to>
      <xdr:col>1</xdr:col>
      <xdr:colOff>560087</xdr:colOff>
      <xdr:row>6</xdr:row>
      <xdr:rowOff>129923</xdr:rowOff>
    </xdr:to>
    <xdr:pic>
      <xdr:nvPicPr>
        <xdr:cNvPr id="42" name="Picture 41">
          <a:extLst>
            <a:ext uri="{FF2B5EF4-FFF2-40B4-BE49-F238E27FC236}">
              <a16:creationId xmlns:a16="http://schemas.microsoft.com/office/drawing/2014/main" id="{A312C6DA-C278-4816-ABC9-18E9D26C6628}"/>
            </a:ext>
          </a:extLst>
        </xdr:cNvPr>
        <xdr:cNvPicPr>
          <a:picLocks noChangeAspect="1"/>
        </xdr:cNvPicPr>
      </xdr:nvPicPr>
      <xdr:blipFill>
        <a:blip xmlns:r="http://schemas.openxmlformats.org/officeDocument/2006/relationships" r:embed="rId2">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855869" y="950434"/>
          <a:ext cx="316539" cy="281668"/>
        </a:xfrm>
        <a:prstGeom prst="rect">
          <a:avLst/>
        </a:prstGeom>
      </xdr:spPr>
    </xdr:pic>
    <xdr:clientData/>
  </xdr:twoCellAnchor>
  <xdr:twoCellAnchor editAs="oneCell">
    <xdr:from>
      <xdr:col>9</xdr:col>
      <xdr:colOff>600092</xdr:colOff>
      <xdr:row>5</xdr:row>
      <xdr:rowOff>62462</xdr:rowOff>
    </xdr:from>
    <xdr:to>
      <xdr:col>10</xdr:col>
      <xdr:colOff>308219</xdr:colOff>
      <xdr:row>6</xdr:row>
      <xdr:rowOff>154760</xdr:rowOff>
    </xdr:to>
    <xdr:pic>
      <xdr:nvPicPr>
        <xdr:cNvPr id="46" name="Picture 45">
          <a:extLst>
            <a:ext uri="{FF2B5EF4-FFF2-40B4-BE49-F238E27FC236}">
              <a16:creationId xmlns:a16="http://schemas.microsoft.com/office/drawing/2014/main" id="{3CF6F0ED-AD89-6406-FF4B-716787179EE1}"/>
            </a:ext>
          </a:extLst>
        </xdr:cNvPr>
        <xdr:cNvPicPr>
          <a:picLocks noChangeAspect="1"/>
        </xdr:cNvPicPr>
      </xdr:nvPicPr>
      <xdr:blipFill>
        <a:blip xmlns:r="http://schemas.openxmlformats.org/officeDocument/2006/relationships" r:embed="rId3">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6110985" y="980944"/>
          <a:ext cx="320448" cy="275995"/>
        </a:xfrm>
        <a:prstGeom prst="rect">
          <a:avLst/>
        </a:prstGeom>
      </xdr:spPr>
    </xdr:pic>
    <xdr:clientData/>
  </xdr:twoCellAnchor>
  <xdr:twoCellAnchor editAs="oneCell">
    <xdr:from>
      <xdr:col>14</xdr:col>
      <xdr:colOff>186397</xdr:colOff>
      <xdr:row>5</xdr:row>
      <xdr:rowOff>41477</xdr:rowOff>
    </xdr:from>
    <xdr:to>
      <xdr:col>14</xdr:col>
      <xdr:colOff>552466</xdr:colOff>
      <xdr:row>6</xdr:row>
      <xdr:rowOff>148973</xdr:rowOff>
    </xdr:to>
    <xdr:pic>
      <xdr:nvPicPr>
        <xdr:cNvPr id="48" name="Picture 47">
          <a:extLst>
            <a:ext uri="{FF2B5EF4-FFF2-40B4-BE49-F238E27FC236}">
              <a16:creationId xmlns:a16="http://schemas.microsoft.com/office/drawing/2014/main" id="{A91553DD-7BAA-464D-E908-14327D254D4C}"/>
            </a:ext>
          </a:extLst>
        </xdr:cNvPr>
        <xdr:cNvPicPr>
          <a:picLocks noChangeAspect="1"/>
        </xdr:cNvPicPr>
      </xdr:nvPicPr>
      <xdr:blipFill>
        <a:blip xmlns:r="http://schemas.openxmlformats.org/officeDocument/2006/relationships" r:embed="rId4">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8758897" y="959959"/>
          <a:ext cx="366069" cy="291193"/>
        </a:xfrm>
        <a:prstGeom prst="rect">
          <a:avLst/>
        </a:prstGeom>
      </xdr:spPr>
    </xdr:pic>
    <xdr:clientData/>
  </xdr:twoCellAnchor>
  <xdr:twoCellAnchor>
    <xdr:from>
      <xdr:col>6</xdr:col>
      <xdr:colOff>503495</xdr:colOff>
      <xdr:row>20</xdr:row>
      <xdr:rowOff>12902</xdr:rowOff>
    </xdr:from>
    <xdr:to>
      <xdr:col>14</xdr:col>
      <xdr:colOff>455868</xdr:colOff>
      <xdr:row>29</xdr:row>
      <xdr:rowOff>12900</xdr:rowOff>
    </xdr:to>
    <xdr:graphicFrame macro="">
      <xdr:nvGraphicFramePr>
        <xdr:cNvPr id="39" name="Chart 38">
          <a:extLst>
            <a:ext uri="{FF2B5EF4-FFF2-40B4-BE49-F238E27FC236}">
              <a16:creationId xmlns:a16="http://schemas.microsoft.com/office/drawing/2014/main" id="{9A19C31A-D10A-4AD4-8435-8FE6B0426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300697</xdr:colOff>
      <xdr:row>19</xdr:row>
      <xdr:rowOff>120399</xdr:rowOff>
    </xdr:from>
    <xdr:to>
      <xdr:col>6</xdr:col>
      <xdr:colOff>386424</xdr:colOff>
      <xdr:row>29</xdr:row>
      <xdr:rowOff>139448</xdr:rowOff>
    </xdr:to>
    <xdr:graphicFrame macro="">
      <xdr:nvGraphicFramePr>
        <xdr:cNvPr id="40" name="Chart 39">
          <a:extLst>
            <a:ext uri="{FF2B5EF4-FFF2-40B4-BE49-F238E27FC236}">
              <a16:creationId xmlns:a16="http://schemas.microsoft.com/office/drawing/2014/main" id="{7E08DD4F-A9CE-4AC7-A53F-8BA039258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590566</xdr:colOff>
      <xdr:row>19</xdr:row>
      <xdr:rowOff>177549</xdr:rowOff>
    </xdr:from>
    <xdr:to>
      <xdr:col>20</xdr:col>
      <xdr:colOff>165923</xdr:colOff>
      <xdr:row>29</xdr:row>
      <xdr:rowOff>110874</xdr:rowOff>
    </xdr:to>
    <xdr:graphicFrame macro="">
      <xdr:nvGraphicFramePr>
        <xdr:cNvPr id="43" name="Chart 42">
          <a:extLst>
            <a:ext uri="{FF2B5EF4-FFF2-40B4-BE49-F238E27FC236}">
              <a16:creationId xmlns:a16="http://schemas.microsoft.com/office/drawing/2014/main" id="{FC37E35F-333A-43F0-BAE8-B801AC187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329272</xdr:colOff>
      <xdr:row>8</xdr:row>
      <xdr:rowOff>139449</xdr:rowOff>
    </xdr:from>
    <xdr:to>
      <xdr:col>5</xdr:col>
      <xdr:colOff>118299</xdr:colOff>
      <xdr:row>19</xdr:row>
      <xdr:rowOff>12901</xdr:rowOff>
    </xdr:to>
    <xdr:graphicFrame macro="">
      <xdr:nvGraphicFramePr>
        <xdr:cNvPr id="44" name="Chart 43">
          <a:extLst>
            <a:ext uri="{FF2B5EF4-FFF2-40B4-BE49-F238E27FC236}">
              <a16:creationId xmlns:a16="http://schemas.microsoft.com/office/drawing/2014/main" id="{B449B30F-DA04-41E7-AD96-1912608BD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338797</xdr:colOff>
      <xdr:row>8</xdr:row>
      <xdr:rowOff>148974</xdr:rowOff>
    </xdr:from>
    <xdr:to>
      <xdr:col>11</xdr:col>
      <xdr:colOff>427294</xdr:colOff>
      <xdr:row>19</xdr:row>
      <xdr:rowOff>41476</xdr:rowOff>
    </xdr:to>
    <xdr:graphicFrame macro="">
      <xdr:nvGraphicFramePr>
        <xdr:cNvPr id="45" name="Chart 44">
          <a:extLst>
            <a:ext uri="{FF2B5EF4-FFF2-40B4-BE49-F238E27FC236}">
              <a16:creationId xmlns:a16="http://schemas.microsoft.com/office/drawing/2014/main" id="{2CF81363-DDA5-4B51-9C33-1580C91F6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224496</xdr:colOff>
      <xdr:row>4</xdr:row>
      <xdr:rowOff>41475</xdr:rowOff>
    </xdr:from>
    <xdr:to>
      <xdr:col>7</xdr:col>
      <xdr:colOff>39590</xdr:colOff>
      <xdr:row>7</xdr:row>
      <xdr:rowOff>62461</xdr:rowOff>
    </xdr:to>
    <xdr:sp macro="" textlink="$Y$32">
      <xdr:nvSpPr>
        <xdr:cNvPr id="51" name="TextBox 50">
          <a:extLst>
            <a:ext uri="{FF2B5EF4-FFF2-40B4-BE49-F238E27FC236}">
              <a16:creationId xmlns:a16="http://schemas.microsoft.com/office/drawing/2014/main" id="{34401F37-8687-4290-AADA-68785AFDFA88}"/>
            </a:ext>
          </a:extLst>
        </xdr:cNvPr>
        <xdr:cNvSpPr txBox="1"/>
      </xdr:nvSpPr>
      <xdr:spPr>
        <a:xfrm>
          <a:off x="3286103" y="776261"/>
          <a:ext cx="1039737" cy="57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980AA8-4652-4D65-A0E5-A5B7814AFEC6}" type="TxLink">
            <a:rPr lang="en-US" sz="3600" b="1" i="0" u="none" strike="noStrike">
              <a:solidFill>
                <a:schemeClr val="bg1"/>
              </a:solidFill>
              <a:latin typeface="Calibri"/>
              <a:ea typeface="Calibri"/>
              <a:cs typeface="Calibri"/>
            </a:rPr>
            <a:pPr marL="0" indent="0"/>
            <a:t>27.7</a:t>
          </a:fld>
          <a:endParaRPr lang="en-US" sz="3600" b="1" i="0" u="none" strike="noStrike">
            <a:solidFill>
              <a:schemeClr val="bg1"/>
            </a:solidFill>
            <a:latin typeface="Calibri"/>
            <a:ea typeface="Calibri"/>
            <a:cs typeface="Calibri"/>
          </a:endParaRPr>
        </a:p>
      </xdr:txBody>
    </xdr:sp>
    <xdr:clientData/>
  </xdr:twoCellAnchor>
  <xdr:twoCellAnchor editAs="oneCell">
    <xdr:from>
      <xdr:col>6</xdr:col>
      <xdr:colOff>590566</xdr:colOff>
      <xdr:row>5</xdr:row>
      <xdr:rowOff>52936</xdr:rowOff>
    </xdr:from>
    <xdr:to>
      <xdr:col>7</xdr:col>
      <xdr:colOff>329271</xdr:colOff>
      <xdr:row>6</xdr:row>
      <xdr:rowOff>148972</xdr:rowOff>
    </xdr:to>
    <xdr:pic>
      <xdr:nvPicPr>
        <xdr:cNvPr id="53" name="Picture 52">
          <a:extLst>
            <a:ext uri="{FF2B5EF4-FFF2-40B4-BE49-F238E27FC236}">
              <a16:creationId xmlns:a16="http://schemas.microsoft.com/office/drawing/2014/main" id="{A8386C7C-78BC-692D-7DB8-C96851F23D05}"/>
            </a:ext>
          </a:extLst>
        </xdr:cNvPr>
        <xdr:cNvPicPr>
          <a:picLocks noChangeAspect="1"/>
        </xdr:cNvPicPr>
      </xdr:nvPicPr>
      <xdr:blipFill>
        <a:blip xmlns:r="http://schemas.openxmlformats.org/officeDocument/2006/relationships" r:embed="rId10">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4264495" y="971418"/>
          <a:ext cx="351026" cy="279733"/>
        </a:xfrm>
        <a:prstGeom prst="rect">
          <a:avLst/>
        </a:prstGeom>
      </xdr:spPr>
    </xdr:pic>
    <xdr:clientData/>
  </xdr:twoCellAnchor>
  <xdr:twoCellAnchor>
    <xdr:from>
      <xdr:col>11</xdr:col>
      <xdr:colOff>541595</xdr:colOff>
      <xdr:row>8</xdr:row>
      <xdr:rowOff>89355</xdr:rowOff>
    </xdr:from>
    <xdr:to>
      <xdr:col>17</xdr:col>
      <xdr:colOff>118299</xdr:colOff>
      <xdr:row>19</xdr:row>
      <xdr:rowOff>71988</xdr:rowOff>
    </xdr:to>
    <xdr:sp macro="" textlink="">
      <xdr:nvSpPr>
        <xdr:cNvPr id="67" name="Rectangle: Rounded Corners 66">
          <a:extLst>
            <a:ext uri="{FF2B5EF4-FFF2-40B4-BE49-F238E27FC236}">
              <a16:creationId xmlns:a16="http://schemas.microsoft.com/office/drawing/2014/main" id="{93E1A25B-FA54-443D-A4CB-2AC0D6F9F410}"/>
            </a:ext>
          </a:extLst>
        </xdr:cNvPr>
        <xdr:cNvSpPr/>
      </xdr:nvSpPr>
      <xdr:spPr>
        <a:xfrm>
          <a:off x="7277131" y="1558926"/>
          <a:ext cx="3250632" cy="2003294"/>
        </a:xfrm>
        <a:prstGeom prst="roundRect">
          <a:avLst>
            <a:gd name="adj" fmla="val 10391"/>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12</xdr:col>
      <xdr:colOff>32573</xdr:colOff>
      <xdr:row>8</xdr:row>
      <xdr:rowOff>148974</xdr:rowOff>
    </xdr:from>
    <xdr:to>
      <xdr:col>17</xdr:col>
      <xdr:colOff>13523</xdr:colOff>
      <xdr:row>16</xdr:row>
      <xdr:rowOff>79828</xdr:rowOff>
    </xdr:to>
    <mc:AlternateContent xmlns:mc="http://schemas.openxmlformats.org/markup-compatibility/2006">
      <mc:Choice xmlns:a14="http://schemas.microsoft.com/office/drawing/2010/main" Requires="a14">
        <xdr:graphicFrame macro="">
          <xdr:nvGraphicFramePr>
            <xdr:cNvPr id="55" name="Complaint_Type">
              <a:extLst>
                <a:ext uri="{FF2B5EF4-FFF2-40B4-BE49-F238E27FC236}">
                  <a16:creationId xmlns:a16="http://schemas.microsoft.com/office/drawing/2014/main" id="{976677C7-54EF-4C48-A6DF-C038D7784591}"/>
                </a:ext>
              </a:extLst>
            </xdr:cNvPr>
            <xdr:cNvGraphicFramePr/>
          </xdr:nvGraphicFramePr>
          <xdr:xfrm>
            <a:off x="0" y="0"/>
            <a:ext cx="0" cy="0"/>
          </xdr:xfrm>
          <a:graphic>
            <a:graphicData uri="http://schemas.microsoft.com/office/drawing/2010/slicer">
              <sle:slicer xmlns:sle="http://schemas.microsoft.com/office/drawing/2010/slicer" name="Complaint_Type"/>
            </a:graphicData>
          </a:graphic>
        </xdr:graphicFrame>
      </mc:Choice>
      <mc:Fallback>
        <xdr:sp macro="" textlink="">
          <xdr:nvSpPr>
            <xdr:cNvPr id="0" name=""/>
            <xdr:cNvSpPr>
              <a:spLocks noTextEdit="1"/>
            </xdr:cNvSpPr>
          </xdr:nvSpPr>
          <xdr:spPr>
            <a:xfrm>
              <a:off x="7380430" y="1618545"/>
              <a:ext cx="3042557" cy="1400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32572</xdr:colOff>
      <xdr:row>15</xdr:row>
      <xdr:rowOff>168024</xdr:rowOff>
    </xdr:from>
    <xdr:to>
      <xdr:col>17</xdr:col>
      <xdr:colOff>13523</xdr:colOff>
      <xdr:row>19</xdr:row>
      <xdr:rowOff>12901</xdr:rowOff>
    </xdr:to>
    <mc:AlternateContent xmlns:mc="http://schemas.openxmlformats.org/markup-compatibility/2006">
      <mc:Choice xmlns:a14="http://schemas.microsoft.com/office/drawing/2010/main" Requires="a14">
        <xdr:graphicFrame macro="">
          <xdr:nvGraphicFramePr>
            <xdr:cNvPr id="56" name="Resolution Speed">
              <a:extLst>
                <a:ext uri="{FF2B5EF4-FFF2-40B4-BE49-F238E27FC236}">
                  <a16:creationId xmlns:a16="http://schemas.microsoft.com/office/drawing/2014/main" id="{AE95383A-545F-4FC6-ACFC-B59496C5DCEB}"/>
                </a:ext>
              </a:extLst>
            </xdr:cNvPr>
            <xdr:cNvGraphicFramePr/>
          </xdr:nvGraphicFramePr>
          <xdr:xfrm>
            <a:off x="0" y="0"/>
            <a:ext cx="0" cy="0"/>
          </xdr:xfrm>
          <a:graphic>
            <a:graphicData uri="http://schemas.microsoft.com/office/drawing/2010/slicer">
              <sle:slicer xmlns:sle="http://schemas.microsoft.com/office/drawing/2010/slicer" name="Resolution Speed"/>
            </a:graphicData>
          </a:graphic>
        </xdr:graphicFrame>
      </mc:Choice>
      <mc:Fallback>
        <xdr:sp macro="" textlink="">
          <xdr:nvSpPr>
            <xdr:cNvPr id="0" name=""/>
            <xdr:cNvSpPr>
              <a:spLocks noTextEdit="1"/>
            </xdr:cNvSpPr>
          </xdr:nvSpPr>
          <xdr:spPr>
            <a:xfrm>
              <a:off x="7380429" y="2923470"/>
              <a:ext cx="3042558" cy="579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195921</xdr:colOff>
      <xdr:row>1</xdr:row>
      <xdr:rowOff>12902</xdr:rowOff>
    </xdr:from>
    <xdr:to>
      <xdr:col>20</xdr:col>
      <xdr:colOff>186397</xdr:colOff>
      <xdr:row>19</xdr:row>
      <xdr:rowOff>52937</xdr:rowOff>
    </xdr:to>
    <xdr:sp macro="" textlink="">
      <xdr:nvSpPr>
        <xdr:cNvPr id="68" name="Rectangle: Rounded Corners 67">
          <a:extLst>
            <a:ext uri="{FF2B5EF4-FFF2-40B4-BE49-F238E27FC236}">
              <a16:creationId xmlns:a16="http://schemas.microsoft.com/office/drawing/2014/main" id="{C0142E8A-55FA-4E48-AF53-6D6A72A93B80}"/>
            </a:ext>
          </a:extLst>
        </xdr:cNvPr>
        <xdr:cNvSpPr/>
      </xdr:nvSpPr>
      <xdr:spPr>
        <a:xfrm>
          <a:off x="10605385" y="196598"/>
          <a:ext cx="1827441" cy="3346571"/>
        </a:xfrm>
        <a:prstGeom prst="roundRect">
          <a:avLst>
            <a:gd name="adj" fmla="val 10391"/>
          </a:avLst>
        </a:prstGeom>
        <a:gradFill flip="none" rotWithShape="1">
          <a:gsLst>
            <a:gs pos="51000">
              <a:srgbClr val="188E82">
                <a:shade val="30000"/>
                <a:satMod val="115000"/>
              </a:srgbClr>
            </a:gs>
            <a:gs pos="100000">
              <a:srgbClr val="188E82">
                <a:shade val="67500"/>
                <a:satMod val="115000"/>
              </a:srgbClr>
            </a:gs>
            <a:gs pos="100000">
              <a:srgbClr val="188E82">
                <a:shade val="100000"/>
                <a:satMod val="115000"/>
              </a:srgbClr>
            </a:gs>
          </a:gsLst>
          <a:lin ang="16200000" scaled="1"/>
          <a:tileRect/>
        </a:gradFill>
        <a:ln w="38100">
          <a:solidFill>
            <a:srgbClr val="1FB7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17</xdr:col>
      <xdr:colOff>291172</xdr:colOff>
      <xdr:row>1</xdr:row>
      <xdr:rowOff>108406</xdr:rowOff>
    </xdr:from>
    <xdr:to>
      <xdr:col>20</xdr:col>
      <xdr:colOff>70673</xdr:colOff>
      <xdr:row>10</xdr:row>
      <xdr:rowOff>152492</xdr:rowOff>
    </xdr:to>
    <mc:AlternateContent xmlns:mc="http://schemas.openxmlformats.org/markup-compatibility/2006">
      <mc:Choice xmlns:a14="http://schemas.microsoft.com/office/drawing/2010/main" Requires="a14">
        <xdr:graphicFrame macro="">
          <xdr:nvGraphicFramePr>
            <xdr:cNvPr id="54" name="Channel">
              <a:extLst>
                <a:ext uri="{FF2B5EF4-FFF2-40B4-BE49-F238E27FC236}">
                  <a16:creationId xmlns:a16="http://schemas.microsoft.com/office/drawing/2014/main" id="{AE429025-B18C-47EC-963D-F835578EC3E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0700636" y="292102"/>
              <a:ext cx="1616466" cy="1697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291172</xdr:colOff>
      <xdr:row>10</xdr:row>
      <xdr:rowOff>157888</xdr:rowOff>
    </xdr:from>
    <xdr:to>
      <xdr:col>20</xdr:col>
      <xdr:colOff>70674</xdr:colOff>
      <xdr:row>18</xdr:row>
      <xdr:rowOff>148361</xdr:rowOff>
    </xdr:to>
    <mc:AlternateContent xmlns:mc="http://schemas.openxmlformats.org/markup-compatibility/2006">
      <mc:Choice xmlns:a14="http://schemas.microsoft.com/office/drawing/2010/main" Requires="a14">
        <xdr:graphicFrame macro="">
          <xdr:nvGraphicFramePr>
            <xdr:cNvPr id="9" name="Complaint_Month">
              <a:extLst>
                <a:ext uri="{FF2B5EF4-FFF2-40B4-BE49-F238E27FC236}">
                  <a16:creationId xmlns:a16="http://schemas.microsoft.com/office/drawing/2014/main" id="{9E31AD93-A93E-4E79-9F11-B0A4F1DBCDAE}"/>
                </a:ext>
              </a:extLst>
            </xdr:cNvPr>
            <xdr:cNvGraphicFramePr/>
          </xdr:nvGraphicFramePr>
          <xdr:xfrm>
            <a:off x="0" y="0"/>
            <a:ext cx="0" cy="0"/>
          </xdr:xfrm>
          <a:graphic>
            <a:graphicData uri="http://schemas.microsoft.com/office/drawing/2010/slicer">
              <sle:slicer xmlns:sle="http://schemas.microsoft.com/office/drawing/2010/slicer" name="Complaint_Month"/>
            </a:graphicData>
          </a:graphic>
        </xdr:graphicFrame>
      </mc:Choice>
      <mc:Fallback>
        <xdr:sp macro="" textlink="">
          <xdr:nvSpPr>
            <xdr:cNvPr id="0" name=""/>
            <xdr:cNvSpPr>
              <a:spLocks noTextEdit="1"/>
            </xdr:cNvSpPr>
          </xdr:nvSpPr>
          <xdr:spPr>
            <a:xfrm>
              <a:off x="10700636" y="1994852"/>
              <a:ext cx="1616467" cy="1460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627708796295" createdVersion="8" refreshedVersion="8" minRefreshableVersion="3" recordCount="1200" xr:uid="{A0FF9E51-E7B9-4776-A87C-F3FFAC3C2038}">
  <cacheSource type="worksheet">
    <worksheetSource name="Table1"/>
  </cacheSource>
  <cacheFields count="13">
    <cacheField name="Complaint_ID" numFmtId="0">
      <sharedItems/>
    </cacheField>
    <cacheField name="Customer_ID" numFmtId="0">
      <sharedItems/>
    </cacheField>
    <cacheField name="Complaint_Type" numFmtId="0">
      <sharedItems count="8">
        <s v="ATM Issue"/>
        <s v="Loan Inquiry"/>
        <s v="Fraud Investigation"/>
        <s v="Service Delay"/>
        <s v="Online Banking Error"/>
        <s v="Transaction Issue"/>
        <s v="Card Problem"/>
        <s v="Account Access"/>
      </sharedItems>
    </cacheField>
    <cacheField name="Channel" numFmtId="0">
      <sharedItems count="5">
        <s v="Email"/>
        <s v="Branch"/>
        <s v="Call Center"/>
        <s v="Website"/>
        <s v="Mobile App"/>
      </sharedItems>
    </cacheField>
    <cacheField name="Complaint_Date" numFmtId="14">
      <sharedItems count="349">
        <s v="2024-10-20"/>
        <s v="2024-10-08"/>
        <s v="2024-09-30"/>
        <s v="2024-05-25"/>
        <s v="2024-03-08"/>
        <s v="2024-12-11"/>
        <s v="2024-06-27"/>
        <s v="2024-11-26"/>
        <s v="2024-07-16"/>
        <s v="2024-03-17"/>
        <s v="2024-01-03"/>
        <s v="2024-09-18"/>
        <s v="2024-08-20"/>
        <s v="2024-12-22"/>
        <s v="2024-07-26"/>
        <s v="2024-08-28"/>
        <s v="2024-06-18"/>
        <s v="2024-09-09"/>
        <s v="2024-03-01"/>
        <s v="2024-06-17"/>
        <s v="2024-02-29"/>
        <s v="2024-02-12"/>
        <s v="2024-01-18"/>
        <s v="2024-04-20"/>
        <s v="2024-09-16"/>
        <s v="2024-01-21"/>
        <s v="2024-01-31"/>
        <s v="2024-01-07"/>
        <s v="2024-07-31"/>
        <s v="2024-03-05"/>
        <s v="2024-08-13"/>
        <s v="2024-03-28"/>
        <s v="2024-11-17"/>
        <s v="2024-01-13"/>
        <s v="2024-08-08"/>
        <s v="2024-02-16"/>
        <s v="2024-06-21"/>
        <s v="2024-10-11"/>
        <s v="2024-05-18"/>
        <s v="2024-05-26"/>
        <s v="2024-08-26"/>
        <s v="2024-12-30"/>
        <s v="2024-08-24"/>
        <s v="2024-04-03"/>
        <s v="2024-02-25"/>
        <s v="2024-12-23"/>
        <s v="2024-02-01"/>
        <s v="2024-11-04"/>
        <s v="2024-08-27"/>
        <s v="2024-07-28"/>
        <s v="2024-08-11"/>
        <s v="2024-08-31"/>
        <s v="2024-01-10"/>
        <s v="2024-12-15"/>
        <s v="2024-05-19"/>
        <s v="2024-12-31"/>
        <s v="2024-07-14"/>
        <s v="2024-12-25"/>
        <s v="2024-04-16"/>
        <s v="2024-04-18"/>
        <s v="2024-06-09"/>
        <s v="2024-05-24"/>
        <s v="2024-01-24"/>
        <s v="2024-02-15"/>
        <s v="2024-02-06"/>
        <s v="2024-03-22"/>
        <s v="2024-05-14"/>
        <s v="2024-01-17"/>
        <s v="2024-04-21"/>
        <s v="2024-11-14"/>
        <s v="2024-12-06"/>
        <s v="2024-10-09"/>
        <s v="2024-11-24"/>
        <s v="2024-12-13"/>
        <s v="2024-10-16"/>
        <s v="2024-03-23"/>
        <s v="2024-03-25"/>
        <s v="2024-02-02"/>
        <s v="2024-06-24"/>
        <s v="2024-05-02"/>
        <s v="2024-02-10"/>
        <s v="2024-02-13"/>
        <s v="2024-09-28"/>
        <s v="2024-11-06"/>
        <s v="2024-09-27"/>
        <s v="2024-10-04"/>
        <s v="2024-04-11"/>
        <s v="2024-09-06"/>
        <s v="2024-11-02"/>
        <s v="2024-11-25"/>
        <s v="2024-05-04"/>
        <s v="2024-10-24"/>
        <s v="2024-05-30"/>
        <s v="2024-09-25"/>
        <s v="2024-07-04"/>
        <s v="2024-04-06"/>
        <s v="2024-07-01"/>
        <s v="2024-02-19"/>
        <s v="2024-08-21"/>
        <s v="2024-05-10"/>
        <s v="2024-10-26"/>
        <s v="2024-12-14"/>
        <s v="2024-07-23"/>
        <s v="2024-06-03"/>
        <s v="2024-03-11"/>
        <s v="2024-04-27"/>
        <s v="2024-04-04"/>
        <s v="2024-10-31"/>
        <s v="2024-07-21"/>
        <s v="2024-10-18"/>
        <s v="2024-09-12"/>
        <s v="2024-11-01"/>
        <s v="2024-06-30"/>
        <s v="2024-12-19"/>
        <s v="2024-03-03"/>
        <s v="2024-08-07"/>
        <s v="2024-10-22"/>
        <s v="2024-10-28"/>
        <s v="2024-09-24"/>
        <s v="2024-07-03"/>
        <s v="2024-08-14"/>
        <s v="2024-10-14"/>
        <s v="2024-06-08"/>
        <s v="2024-06-25"/>
        <s v="2024-10-07"/>
        <s v="2024-07-08"/>
        <s v="2024-01-27"/>
        <s v="2024-02-20"/>
        <s v="2024-02-27"/>
        <s v="2024-03-18"/>
        <s v="2024-12-10"/>
        <s v="2024-06-15"/>
        <s v="2024-11-22"/>
        <s v="2024-09-10"/>
        <s v="2024-11-09"/>
        <s v="2024-01-09"/>
        <s v="2024-01-29"/>
        <s v="2024-07-30"/>
        <s v="2024-03-06"/>
        <s v="2024-01-14"/>
        <s v="2024-05-20"/>
        <s v="2024-08-06"/>
        <s v="2024-08-23"/>
        <s v="2024-04-22"/>
        <s v="2024-05-22"/>
        <s v="2024-04-28"/>
        <s v="2024-08-19"/>
        <s v="2024-03-24"/>
        <s v="2024-03-07"/>
        <s v="2024-03-16"/>
        <s v="2024-02-21"/>
        <s v="2024-02-26"/>
        <s v="2024-09-15"/>
        <s v="2024-05-27"/>
        <s v="2024-09-19"/>
        <s v="2024-12-02"/>
        <s v="2024-07-12"/>
        <s v="2024-11-12"/>
        <s v="2024-07-05"/>
        <s v="2024-08-05"/>
        <s v="2024-03-15"/>
        <s v="2024-04-13"/>
        <s v="2024-11-18"/>
        <s v="2024-01-20"/>
        <s v="2024-02-09"/>
        <s v="2024-10-06"/>
        <s v="2024-11-23"/>
        <s v="2024-01-22"/>
        <s v="2024-08-09"/>
        <s v="2024-08-22"/>
        <s v="2024-07-06"/>
        <s v="2024-03-10"/>
        <s v="2024-11-16"/>
        <s v="2024-10-02"/>
        <s v="2024-10-17"/>
        <s v="2024-02-23"/>
        <s v="2024-08-16"/>
        <s v="2024-03-21"/>
        <s v="2024-02-18"/>
        <s v="2024-07-13"/>
        <s v="2024-08-17"/>
        <s v="2024-09-23"/>
        <s v="2024-10-12"/>
        <s v="2024-01-26"/>
        <s v="2024-04-29"/>
        <s v="2024-05-15"/>
        <s v="2024-11-03"/>
        <s v="2024-01-08"/>
        <s v="2024-05-31"/>
        <s v="2024-05-08"/>
        <s v="2024-07-11"/>
        <s v="2024-05-06"/>
        <s v="2024-02-11"/>
        <s v="2024-02-03"/>
        <s v="2024-05-07"/>
        <s v="2024-03-30"/>
        <s v="2024-08-04"/>
        <s v="2024-06-28"/>
        <s v="2024-06-05"/>
        <s v="2024-12-04"/>
        <s v="2024-05-05"/>
        <s v="2024-06-19"/>
        <s v="2024-03-20"/>
        <s v="2024-07-25"/>
        <s v="2024-06-07"/>
        <s v="2024-01-01"/>
        <s v="2024-12-03"/>
        <s v="2024-12-17"/>
        <s v="2024-03-19"/>
        <s v="2024-09-13"/>
        <s v="2024-02-24"/>
        <s v="2024-07-02"/>
        <s v="2024-04-12"/>
        <s v="2024-02-28"/>
        <s v="2024-04-10"/>
        <s v="2024-12-08"/>
        <s v="2024-05-09"/>
        <s v="2024-11-15"/>
        <s v="2024-10-13"/>
        <s v="2024-01-19"/>
        <s v="2024-02-04"/>
        <s v="2024-04-15"/>
        <s v="2024-05-29"/>
        <s v="2024-03-29"/>
        <s v="2024-03-14"/>
        <s v="2024-08-12"/>
        <s v="2024-06-06"/>
        <s v="2024-11-27"/>
        <s v="2024-03-12"/>
        <s v="2024-09-22"/>
        <s v="2024-12-27"/>
        <s v="2024-01-16"/>
        <s v="2024-09-17"/>
        <s v="2024-08-01"/>
        <s v="2024-11-05"/>
        <s v="2024-11-11"/>
        <s v="2024-02-07"/>
        <s v="2024-01-15"/>
        <s v="2024-04-09"/>
        <s v="2024-02-22"/>
        <s v="2024-08-15"/>
        <s v="2024-01-12"/>
        <s v="2024-10-25"/>
        <s v="2024-08-29"/>
        <s v="2024-02-05"/>
        <s v="2024-04-05"/>
        <s v="2024-09-04"/>
        <s v="2024-11-07"/>
        <s v="2024-03-27"/>
        <s v="2024-03-13"/>
        <s v="2024-07-17"/>
        <s v="2024-08-18"/>
        <s v="2024-01-23"/>
        <s v="2024-09-11"/>
        <s v="2024-11-29"/>
        <s v="2024-12-01"/>
        <s v="2024-12-18"/>
        <s v="2024-05-13"/>
        <s v="2024-08-02"/>
        <s v="2024-07-19"/>
        <s v="2024-06-10"/>
        <s v="2024-12-29"/>
        <s v="2024-01-04"/>
        <s v="2024-07-09"/>
        <s v="2024-04-26"/>
        <s v="2024-04-14"/>
        <s v="2024-09-01"/>
        <s v="2024-03-09"/>
        <s v="2024-11-13"/>
        <s v="2024-04-17"/>
        <s v="2024-11-08"/>
        <s v="2024-09-03"/>
        <s v="2024-08-30"/>
        <s v="2024-12-12"/>
        <s v="2024-06-12"/>
        <s v="2024-01-11"/>
        <s v="2024-06-20"/>
        <s v="2024-05-21"/>
        <s v="2024-04-30"/>
        <s v="2024-06-14"/>
        <s v="2024-12-16"/>
        <s v="2024-06-01"/>
        <s v="2024-11-28"/>
        <s v="2024-02-08"/>
        <s v="2024-01-25"/>
        <s v="2024-07-24"/>
        <s v="2024-06-04"/>
        <s v="2024-04-08"/>
        <s v="2024-04-02"/>
        <s v="2024-01-28"/>
        <s v="2024-09-21"/>
        <s v="2024-03-04"/>
        <s v="2024-07-10"/>
        <s v="2024-10-15"/>
        <s v="2024-12-21"/>
        <s v="2024-01-30"/>
        <s v="2024-05-23"/>
        <s v="2024-01-05"/>
        <s v="2024-04-24"/>
        <s v="2024-05-28"/>
        <s v="2024-07-07"/>
        <s v="2024-03-02"/>
        <s v="2024-06-02"/>
        <s v="2024-10-03"/>
        <s v="2024-01-02"/>
        <s v="2024-12-24"/>
        <s v="2024-09-05"/>
        <s v="2024-04-23"/>
        <s v="2024-07-18"/>
        <s v="2024-09-08"/>
        <s v="2024-10-23"/>
        <s v="2024-04-25"/>
        <s v="2024-12-26"/>
        <s v="2024-08-25"/>
        <s v="2024-11-30"/>
        <s v="2024-10-29"/>
        <s v="2024-07-22"/>
        <s v="2024-06-22"/>
        <s v="2024-04-07"/>
        <s v="2024-07-15"/>
        <s v="2024-06-29"/>
        <s v="2024-11-19"/>
        <s v="2024-05-16"/>
        <s v="2024-07-20"/>
        <s v="2024-10-10"/>
        <s v="2024-02-17"/>
        <s v="2024-10-19"/>
        <s v="2024-09-20"/>
        <s v="2024-08-10"/>
        <s v="2024-11-21"/>
        <s v="2024-12-20"/>
        <s v="2024-10-21"/>
        <s v="2024-08-03"/>
        <s v="2024-09-14"/>
        <s v="2024-01-06"/>
        <s v="2024-05-12"/>
        <s v="2024-03-31"/>
        <s v="2024-09-07"/>
        <s v="2024-03-26"/>
        <s v="2024-04-01"/>
        <s v="2024-06-16"/>
        <s v="2024-11-10"/>
        <s v="2024-09-29"/>
        <s v="2024-12-09"/>
        <s v="2024-09-26"/>
        <s v="2024-05-01"/>
        <s v="2024-07-27"/>
        <s v="2024-09-02"/>
        <s v="2024-06-13"/>
      </sharedItems>
    </cacheField>
    <cacheField name="Resolution_Time_Hours" numFmtId="0">
      <sharedItems containsSemiMixedTypes="0" containsString="0" containsNumber="1" containsInteger="1" minValue="1" maxValue="96"/>
    </cacheField>
    <cacheField name="Resolution_Status" numFmtId="0">
      <sharedItems count="3">
        <s v="In Progress"/>
        <s v="Resolved"/>
        <s v="Pending"/>
      </sharedItems>
    </cacheField>
    <cacheField name="Resolution_Date" numFmtId="14">
      <sharedItems containsBlank="1" count="321">
        <m/>
        <s v="2024-10-08"/>
        <s v="2024-10-01"/>
        <s v="2024-05-25"/>
        <s v="2024-11-27"/>
        <s v="2024-07-17"/>
        <s v="2024-08-22"/>
        <s v="2024-12-22"/>
        <s v="2024-07-26"/>
        <s v="2024-09-30"/>
        <s v="2024-06-18"/>
        <s v="2024-03-03"/>
        <s v="2024-06-17"/>
        <s v="2024-02-13"/>
        <s v="2024-04-20"/>
        <s v="2024-09-19"/>
        <s v="2024-01-21"/>
        <s v="2024-08-03"/>
        <s v="2024-03-05"/>
        <s v="2024-02-02"/>
        <s v="2024-06-19"/>
        <s v="2024-03-30"/>
        <s v="2024-01-13"/>
        <s v="2024-08-09"/>
        <s v="2024-06-21"/>
        <s v="2024-05-19"/>
        <s v="2024-03-01"/>
        <s v="2024-08-26"/>
        <s v="2024-12-30"/>
        <s v="2024-08-24"/>
        <s v="2024-04-05"/>
        <s v="2024-02-25"/>
        <s v="2024-08-27"/>
        <s v="2024-09-03"/>
        <s v="2024-05-22"/>
        <s v="2024-07-14"/>
        <s v="2024-12-28"/>
        <s v="2024-04-17"/>
        <s v="2024-04-18"/>
        <s v="2024-12-31"/>
        <s v="2024-06-10"/>
        <s v="2024-08-31"/>
        <s v="2024-02-07"/>
        <s v="2024-05-14"/>
        <s v="2024-01-17"/>
        <s v="2024-04-21"/>
        <s v="2024-11-16"/>
        <s v="2024-11-25"/>
        <s v="2024-12-13"/>
        <s v="2024-10-17"/>
        <s v="2024-06-24"/>
        <s v="2024-12-11"/>
        <s v="2024-05-02"/>
        <s v="2024-03-17"/>
        <s v="2024-06-28"/>
        <s v="2024-11-07"/>
        <s v="2024-10-04"/>
        <s v="2024-04-11"/>
        <s v="2024-09-08"/>
        <s v="2024-01-31"/>
        <s v="2024-11-02"/>
        <s v="2024-05-04"/>
        <s v="2024-10-24"/>
        <s v="2024-11-05"/>
        <s v="2024-08-15"/>
        <s v="2024-05-31"/>
        <s v="2024-07-06"/>
        <s v="2024-04-06"/>
        <s v="2024-07-03"/>
        <s v="2024-08-21"/>
        <s v="2024-10-27"/>
        <s v="2024-12-07"/>
        <s v="2024-12-15"/>
        <s v="2024-07-23"/>
        <s v="2024-02-15"/>
        <s v="2025-01-01"/>
        <s v="2024-03-12"/>
        <s v="2024-10-09"/>
        <s v="2024-07-21"/>
        <s v="2024-09-13"/>
        <s v="2024-05-26"/>
        <s v="2024-07-01"/>
        <s v="2024-08-07"/>
        <s v="2024-12-24"/>
        <s v="2024-10-22"/>
        <s v="2024-12-25"/>
        <s v="2024-10-23"/>
        <s v="2024-09-25"/>
        <s v="2024-07-04"/>
        <s v="2024-10-15"/>
        <s v="2024-06-26"/>
        <s v="2024-09-24"/>
        <s v="2024-10-07"/>
        <s v="2024-07-09"/>
        <s v="2024-01-27"/>
        <s v="2024-02-20"/>
        <s v="2024-02-27"/>
        <s v="2024-03-18"/>
        <s v="2024-12-12"/>
        <s v="2024-06-15"/>
        <s v="2024-11-22"/>
        <s v="2024-09-10"/>
        <s v="2024-11-09"/>
        <s v="2024-01-09"/>
        <s v="2024-01-29"/>
        <s v="2024-03-08"/>
        <s v="2024-10-20"/>
        <s v="2024-01-15"/>
        <s v="2024-09-18"/>
        <s v="2024-01-18"/>
        <s v="2024-05-20"/>
        <s v="2024-08-25"/>
        <s v="2024-04-23"/>
        <s v="2024-08-17"/>
        <s v="2024-04-28"/>
        <s v="2024-08-20"/>
        <s v="2024-05-27"/>
        <s v="2024-02-26"/>
        <s v="2024-11-26"/>
        <s v="2024-12-23"/>
        <s v="2024-12-02"/>
        <s v="2024-07-13"/>
        <s v="2024-07-05"/>
        <s v="2024-08-23"/>
        <s v="2024-11-19"/>
        <s v="2024-02-12"/>
        <s v="2024-08-10"/>
        <s v="2024-03-10"/>
        <s v="2024-10-02"/>
        <s v="2024-08-08"/>
        <s v="2024-06-27"/>
        <s v="2024-02-23"/>
        <s v="2024-03-21"/>
        <s v="2024-02-18"/>
        <s v="2024-07-15"/>
        <s v="2024-09-23"/>
        <s v="2024-10-13"/>
        <s v="2024-01-26"/>
        <s v="2024-07-12"/>
        <s v="2024-01-08"/>
        <s v="2024-05-06"/>
        <s v="2024-02-03"/>
        <s v="2024-05-09"/>
        <s v="2024-08-06"/>
        <s v="2024-06-30"/>
        <s v="2024-05-30"/>
        <s v="2024-10-16"/>
        <s v="2024-06-06"/>
        <s v="2024-04-13"/>
        <s v="2024-12-04"/>
        <s v="2024-05-05"/>
        <s v="2024-06-03"/>
        <s v="2024-11-04"/>
        <s v="2024-10-26"/>
        <s v="2024-01-01"/>
        <s v="2024-12-20"/>
        <s v="2024-03-19"/>
        <s v="2024-09-15"/>
        <s v="2024-04-14"/>
        <s v="2024-12-08"/>
        <s v="2024-11-15"/>
        <s v="2024-04-15"/>
        <s v="2024-05-29"/>
        <s v="2024-06-25"/>
        <s v="2024-03-28"/>
        <s v="2024-08-04"/>
        <s v="2024-08-12"/>
        <s v="2024-05-15"/>
        <s v="2024-03-13"/>
        <s v="2024-12-29"/>
        <s v="2024-09-20"/>
        <s v="2024-08-01"/>
        <s v="2024-09-17"/>
        <s v="2024-04-27"/>
        <s v="2024-12-05"/>
        <s v="2024-11-11"/>
        <s v="2024-02-22"/>
        <s v="2024-01-16"/>
        <s v="2024-03-06"/>
        <s v="2024-08-30"/>
        <s v="2024-02-06"/>
        <s v="2024-04-24"/>
        <s v="2024-03-26"/>
        <s v="2024-02-14"/>
        <s v="2024-11-06"/>
        <s v="2024-08-19"/>
        <s v="2024-03-20"/>
        <s v="2024-01-12"/>
        <s v="2024-11-29"/>
        <s v="2024-12-18"/>
        <s v="2024-12-27"/>
        <s v="2024-05-13"/>
        <s v="2024-08-02"/>
        <s v="2024-10-11"/>
        <s v="2024-07-20"/>
        <s v="2024-03-02"/>
        <s v="2024-02-24"/>
        <s v="2024-02-05"/>
        <s v="2024-05-08"/>
        <s v="2024-10-12"/>
        <s v="2024-01-05"/>
        <s v="2024-04-10"/>
        <s v="2024-07-10"/>
        <s v="2024-10-14"/>
        <s v="2024-09-04"/>
        <s v="2024-04-19"/>
        <s v="2024-11-10"/>
        <s v="2024-12-06"/>
        <s v="2024-12-03"/>
        <s v="2024-11-03"/>
        <s v="2024-06-13"/>
        <s v="2024-01-25"/>
        <s v="2024-05-07"/>
        <s v="2024-03-14"/>
        <s v="2024-06-20"/>
        <s v="2024-01-07"/>
        <s v="2024-01-24"/>
        <s v="2024-03-07"/>
        <s v="2024-05-21"/>
        <s v="2024-01-20"/>
        <s v="2024-06-23"/>
        <s v="2024-02-17"/>
        <s v="2024-07-28"/>
        <s v="2024-06-02"/>
        <s v="2024-04-04"/>
        <s v="2024-04-03"/>
        <s v="2024-09-12"/>
        <s v="2024-02-09"/>
        <s v="2024-09-22"/>
        <s v="2024-08-11"/>
        <s v="2024-03-25"/>
        <s v="2024-06-16"/>
        <s v="2024-04-02"/>
        <s v="2024-10-19"/>
        <s v="2024-01-23"/>
        <s v="2024-10-18"/>
        <s v="2024-08-14"/>
        <s v="2024-04-09"/>
        <s v="2024-09-21"/>
        <s v="2024-02-16"/>
        <s v="2024-11-23"/>
        <s v="2024-09-27"/>
        <s v="2024-03-11"/>
        <s v="2024-01-30"/>
        <s v="2024-01-14"/>
        <s v="2024-05-24"/>
        <s v="2024-08-16"/>
        <s v="2024-09-14"/>
        <s v="2024-01-22"/>
        <s v="2024-10-05"/>
        <s v="2024-12-19"/>
        <s v="2024-12-17"/>
        <s v="2024-11-18"/>
        <s v="2024-03-09"/>
        <s v="2024-04-25"/>
        <s v="2024-07-19"/>
        <s v="2024-10-28"/>
        <s v="2024-11-01"/>
        <s v="2024-03-22"/>
        <s v="2024-09-07"/>
        <s v="2024-04-01"/>
        <s v="2024-05-18"/>
        <s v="2024-09-16"/>
        <s v="2024-07-25"/>
        <s v="2024-01-19"/>
        <s v="2024-05-03"/>
        <s v="2024-02-04"/>
        <s v="2024-11-30"/>
        <s v="2024-11-17"/>
        <s v="2024-08-13"/>
        <s v="2024-03-24"/>
        <s v="2024-04-12"/>
        <s v="2024-12-26"/>
        <s v="2024-02-19"/>
        <s v="2024-02-01"/>
        <s v="2024-01-02"/>
        <s v="2024-07-11"/>
        <s v="2024-04-08"/>
        <s v="2024-12-16"/>
        <s v="2024-03-04"/>
        <s v="2024-09-06"/>
        <s v="2024-05-11"/>
        <s v="2024-02-11"/>
        <s v="2024-01-04"/>
        <s v="2024-02-10"/>
        <s v="2024-10-10"/>
        <s v="2024-09-05"/>
        <s v="2024-09-01"/>
        <s v="2024-11-08"/>
        <s v="2024-10-21"/>
        <s v="2024-06-29"/>
        <s v="2024-02-21"/>
        <s v="2024-01-11"/>
        <s v="2024-05-28"/>
        <s v="2024-07-18"/>
        <s v="2024-08-28"/>
        <s v="2024-11-21"/>
        <s v="2024-02-29"/>
        <s v="2024-12-21"/>
        <s v="2024-08-05"/>
        <s v="2024-03-15"/>
        <s v="2024-08-18"/>
        <s v="2025-01-02"/>
        <s v="2024-01-06"/>
        <s v="2024-06-07"/>
        <s v="2024-05-12"/>
        <s v="2024-09-28"/>
        <s v="2024-07-16"/>
        <s v="2024-11-14"/>
        <s v="2024-09-11"/>
        <s v="2024-03-29"/>
        <s v="2024-02-28"/>
        <s v="2024-04-07"/>
        <s v="2024-06-01"/>
        <s v="2024-09-29"/>
        <s v="2024-11-20"/>
        <s v="2024-06-11"/>
        <s v="2024-06-09"/>
        <s v="2024-11-12"/>
        <s v="2024-06-04"/>
        <s v="2024-03-23"/>
      </sharedItems>
    </cacheField>
    <cacheField name="Customer_Rating" numFmtId="0">
      <sharedItems containsString="0" containsBlank="1" containsNumber="1" containsInteger="1" minValue="1" maxValue="5"/>
    </cacheField>
    <cacheField name="Is_Resolved" numFmtId="0">
      <sharedItems count="2">
        <s v="No"/>
        <s v="Yes"/>
      </sharedItems>
    </cacheField>
    <cacheField name="Resolution_Delay (Days" numFmtId="0">
      <sharedItems containsMixedTypes="1" containsNumber="1" containsInteger="1" minValue="0" maxValue="4"/>
    </cacheField>
    <cacheField name="Complaint_Month" numFmtId="0">
      <sharedItems count="12">
        <s v="Oct"/>
        <s v="Sep"/>
        <s v="May"/>
        <s v="Mar"/>
        <s v="Dec"/>
        <s v="Jun"/>
        <s v="Nov"/>
        <s v="Jul"/>
        <s v="Jan"/>
        <s v="Aug"/>
        <s v="Feb"/>
        <s v="Apr"/>
      </sharedItems>
    </cacheField>
    <cacheField name="Resolution Speed" numFmtId="0">
      <sharedItems count="3">
        <s v="Fast"/>
        <s v="Medium"/>
        <s v="Slow"/>
      </sharedItems>
    </cacheField>
  </cacheFields>
  <extLst>
    <ext xmlns:x14="http://schemas.microsoft.com/office/spreadsheetml/2009/9/main" uri="{725AE2AE-9491-48be-B2B4-4EB974FC3084}">
      <x14:pivotCacheDefinition pivotCacheId="639360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640510648147" createdVersion="8" refreshedVersion="8" minRefreshableVersion="3" recordCount="1201" xr:uid="{BEC018D5-A487-4C3A-82DF-8AF525E6C7FF}">
  <cacheSource type="worksheet">
    <worksheetSource ref="J1:J1048576" sheet="Complaints_Data"/>
  </cacheSource>
  <cacheFields count="1">
    <cacheField name="Is_Resolved" numFmtId="0">
      <sharedItems containsBlank="1" count="3">
        <s v="Unresolved"/>
        <s v="Resolv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DBK-CMP-100000"/>
    <s v="DBK-CUS-500000"/>
    <x v="0"/>
    <x v="0"/>
    <x v="0"/>
    <n v="13"/>
    <x v="0"/>
    <x v="0"/>
    <m/>
    <x v="0"/>
    <s v=" "/>
    <x v="0"/>
    <x v="0"/>
  </r>
  <r>
    <s v="DBK-CMP-100001"/>
    <s v="DBK-CUS-500001"/>
    <x v="1"/>
    <x v="1"/>
    <x v="1"/>
    <n v="10"/>
    <x v="1"/>
    <x v="1"/>
    <n v="4"/>
    <x v="1"/>
    <n v="0"/>
    <x v="0"/>
    <x v="0"/>
  </r>
  <r>
    <s v="DBK-CMP-100002"/>
    <s v="DBK-CUS-500002"/>
    <x v="0"/>
    <x v="1"/>
    <x v="2"/>
    <n v="38"/>
    <x v="1"/>
    <x v="2"/>
    <n v="2"/>
    <x v="1"/>
    <n v="1"/>
    <x v="1"/>
    <x v="1"/>
  </r>
  <r>
    <s v="DBK-CMP-100003"/>
    <s v="DBK-CUS-500003"/>
    <x v="1"/>
    <x v="2"/>
    <x v="3"/>
    <n v="6"/>
    <x v="1"/>
    <x v="3"/>
    <n v="5"/>
    <x v="1"/>
    <n v="0"/>
    <x v="2"/>
    <x v="0"/>
  </r>
  <r>
    <s v="DBK-CMP-100004"/>
    <s v="DBK-CUS-500004"/>
    <x v="1"/>
    <x v="1"/>
    <x v="4"/>
    <n v="9"/>
    <x v="0"/>
    <x v="0"/>
    <m/>
    <x v="0"/>
    <s v=" "/>
    <x v="3"/>
    <x v="0"/>
  </r>
  <r>
    <s v="DBK-CMP-100005"/>
    <s v="DBK-CUS-500005"/>
    <x v="2"/>
    <x v="0"/>
    <x v="5"/>
    <n v="48"/>
    <x v="0"/>
    <x v="0"/>
    <m/>
    <x v="0"/>
    <s v=" "/>
    <x v="4"/>
    <x v="1"/>
  </r>
  <r>
    <s v="DBK-CMP-100006"/>
    <s v="DBK-CUS-500006"/>
    <x v="1"/>
    <x v="3"/>
    <x v="6"/>
    <n v="33"/>
    <x v="2"/>
    <x v="0"/>
    <m/>
    <x v="0"/>
    <s v=" "/>
    <x v="5"/>
    <x v="1"/>
  </r>
  <r>
    <s v="DBK-CMP-100007"/>
    <s v="DBK-CUS-500007"/>
    <x v="3"/>
    <x v="1"/>
    <x v="7"/>
    <n v="42"/>
    <x v="1"/>
    <x v="4"/>
    <n v="2"/>
    <x v="1"/>
    <n v="1"/>
    <x v="6"/>
    <x v="1"/>
  </r>
  <r>
    <s v="DBK-CMP-100008"/>
    <s v="DBK-CUS-500008"/>
    <x v="4"/>
    <x v="1"/>
    <x v="8"/>
    <n v="26"/>
    <x v="1"/>
    <x v="5"/>
    <n v="5"/>
    <x v="1"/>
    <n v="1"/>
    <x v="7"/>
    <x v="1"/>
  </r>
  <r>
    <s v="DBK-CMP-100009"/>
    <s v="DBK-CUS-500009"/>
    <x v="5"/>
    <x v="2"/>
    <x v="9"/>
    <n v="4"/>
    <x v="2"/>
    <x v="0"/>
    <m/>
    <x v="0"/>
    <s v=" "/>
    <x v="3"/>
    <x v="0"/>
  </r>
  <r>
    <s v="DBK-CMP-100010"/>
    <s v="DBK-CUS-500010"/>
    <x v="0"/>
    <x v="3"/>
    <x v="10"/>
    <n v="46"/>
    <x v="2"/>
    <x v="0"/>
    <m/>
    <x v="0"/>
    <s v=" "/>
    <x v="8"/>
    <x v="1"/>
  </r>
  <r>
    <s v="DBK-CMP-100011"/>
    <s v="DBK-CUS-500011"/>
    <x v="0"/>
    <x v="2"/>
    <x v="11"/>
    <n v="37"/>
    <x v="2"/>
    <x v="0"/>
    <m/>
    <x v="0"/>
    <s v=" "/>
    <x v="1"/>
    <x v="1"/>
  </r>
  <r>
    <s v="DBK-CMP-100012"/>
    <s v="DBK-CUS-500012"/>
    <x v="3"/>
    <x v="1"/>
    <x v="12"/>
    <n v="53"/>
    <x v="1"/>
    <x v="6"/>
    <n v="1"/>
    <x v="1"/>
    <n v="2"/>
    <x v="9"/>
    <x v="1"/>
  </r>
  <r>
    <s v="DBK-CMP-100013"/>
    <s v="DBK-CUS-500013"/>
    <x v="3"/>
    <x v="0"/>
    <x v="13"/>
    <n v="23"/>
    <x v="1"/>
    <x v="7"/>
    <n v="3"/>
    <x v="1"/>
    <n v="0"/>
    <x v="4"/>
    <x v="0"/>
  </r>
  <r>
    <s v="DBK-CMP-100014"/>
    <s v="DBK-CUS-500014"/>
    <x v="6"/>
    <x v="1"/>
    <x v="14"/>
    <n v="8"/>
    <x v="1"/>
    <x v="8"/>
    <n v="4"/>
    <x v="1"/>
    <n v="0"/>
    <x v="7"/>
    <x v="0"/>
  </r>
  <r>
    <s v="DBK-CMP-100015"/>
    <s v="DBK-CUS-500015"/>
    <x v="6"/>
    <x v="2"/>
    <x v="15"/>
    <n v="13"/>
    <x v="2"/>
    <x v="0"/>
    <m/>
    <x v="0"/>
    <s v=" "/>
    <x v="9"/>
    <x v="0"/>
  </r>
  <r>
    <s v="DBK-CMP-100016"/>
    <s v="DBK-CUS-500016"/>
    <x v="5"/>
    <x v="1"/>
    <x v="2"/>
    <n v="3"/>
    <x v="1"/>
    <x v="9"/>
    <n v="5"/>
    <x v="1"/>
    <n v="0"/>
    <x v="1"/>
    <x v="0"/>
  </r>
  <r>
    <s v="DBK-CMP-100017"/>
    <s v="DBK-CUS-500017"/>
    <x v="3"/>
    <x v="1"/>
    <x v="16"/>
    <n v="13"/>
    <x v="1"/>
    <x v="10"/>
    <n v="3"/>
    <x v="1"/>
    <n v="0"/>
    <x v="5"/>
    <x v="0"/>
  </r>
  <r>
    <s v="DBK-CMP-100018"/>
    <s v="DBK-CUS-500018"/>
    <x v="3"/>
    <x v="3"/>
    <x v="17"/>
    <n v="59"/>
    <x v="2"/>
    <x v="0"/>
    <m/>
    <x v="0"/>
    <s v=" "/>
    <x v="1"/>
    <x v="1"/>
  </r>
  <r>
    <s v="DBK-CMP-100019"/>
    <s v="DBK-CUS-500019"/>
    <x v="2"/>
    <x v="3"/>
    <x v="18"/>
    <n v="63"/>
    <x v="1"/>
    <x v="11"/>
    <n v="1"/>
    <x v="1"/>
    <n v="2"/>
    <x v="3"/>
    <x v="1"/>
  </r>
  <r>
    <s v="DBK-CMP-100020"/>
    <s v="DBK-CUS-500020"/>
    <x v="6"/>
    <x v="1"/>
    <x v="19"/>
    <n v="7"/>
    <x v="1"/>
    <x v="12"/>
    <n v="4"/>
    <x v="1"/>
    <n v="0"/>
    <x v="5"/>
    <x v="0"/>
  </r>
  <r>
    <s v="DBK-CMP-100021"/>
    <s v="DBK-CUS-500021"/>
    <x v="5"/>
    <x v="1"/>
    <x v="20"/>
    <n v="1"/>
    <x v="2"/>
    <x v="0"/>
    <m/>
    <x v="0"/>
    <s v=" "/>
    <x v="10"/>
    <x v="0"/>
  </r>
  <r>
    <s v="DBK-CMP-100022"/>
    <s v="DBK-CUS-500022"/>
    <x v="3"/>
    <x v="4"/>
    <x v="21"/>
    <n v="37"/>
    <x v="1"/>
    <x v="13"/>
    <n v="2"/>
    <x v="1"/>
    <n v="1"/>
    <x v="10"/>
    <x v="1"/>
  </r>
  <r>
    <s v="DBK-CMP-100023"/>
    <s v="DBK-CUS-500023"/>
    <x v="4"/>
    <x v="2"/>
    <x v="22"/>
    <n v="37"/>
    <x v="0"/>
    <x v="0"/>
    <m/>
    <x v="0"/>
    <s v=" "/>
    <x v="8"/>
    <x v="1"/>
  </r>
  <r>
    <s v="DBK-CMP-100024"/>
    <s v="DBK-CUS-500024"/>
    <x v="0"/>
    <x v="0"/>
    <x v="23"/>
    <n v="14"/>
    <x v="1"/>
    <x v="14"/>
    <n v="3"/>
    <x v="1"/>
    <n v="0"/>
    <x v="11"/>
    <x v="0"/>
  </r>
  <r>
    <s v="DBK-CMP-100025"/>
    <s v="DBK-CUS-500025"/>
    <x v="2"/>
    <x v="1"/>
    <x v="24"/>
    <n v="88"/>
    <x v="1"/>
    <x v="15"/>
    <n v="5"/>
    <x v="1"/>
    <n v="3"/>
    <x v="1"/>
    <x v="2"/>
  </r>
  <r>
    <s v="DBK-CMP-100026"/>
    <s v="DBK-CUS-500026"/>
    <x v="7"/>
    <x v="3"/>
    <x v="25"/>
    <n v="2"/>
    <x v="1"/>
    <x v="16"/>
    <n v="5"/>
    <x v="1"/>
    <n v="0"/>
    <x v="8"/>
    <x v="0"/>
  </r>
  <r>
    <s v="DBK-CMP-100027"/>
    <s v="DBK-CUS-500027"/>
    <x v="7"/>
    <x v="1"/>
    <x v="26"/>
    <n v="3"/>
    <x v="2"/>
    <x v="0"/>
    <m/>
    <x v="0"/>
    <s v=" "/>
    <x v="8"/>
    <x v="0"/>
  </r>
  <r>
    <s v="DBK-CMP-100028"/>
    <s v="DBK-CUS-500028"/>
    <x v="1"/>
    <x v="1"/>
    <x v="27"/>
    <n v="4"/>
    <x v="0"/>
    <x v="0"/>
    <m/>
    <x v="0"/>
    <s v=" "/>
    <x v="8"/>
    <x v="0"/>
  </r>
  <r>
    <s v="DBK-CMP-100029"/>
    <s v="DBK-CUS-500029"/>
    <x v="2"/>
    <x v="0"/>
    <x v="28"/>
    <n v="77"/>
    <x v="1"/>
    <x v="17"/>
    <n v="5"/>
    <x v="1"/>
    <n v="3"/>
    <x v="7"/>
    <x v="2"/>
  </r>
  <r>
    <s v="DBK-CMP-100030"/>
    <s v="DBK-CUS-500030"/>
    <x v="5"/>
    <x v="2"/>
    <x v="29"/>
    <n v="5"/>
    <x v="1"/>
    <x v="18"/>
    <n v="5"/>
    <x v="1"/>
    <n v="0"/>
    <x v="3"/>
    <x v="0"/>
  </r>
  <r>
    <s v="DBK-CMP-100031"/>
    <s v="DBK-CUS-500031"/>
    <x v="2"/>
    <x v="0"/>
    <x v="30"/>
    <n v="83"/>
    <x v="2"/>
    <x v="0"/>
    <m/>
    <x v="0"/>
    <s v=" "/>
    <x v="9"/>
    <x v="2"/>
  </r>
  <r>
    <s v="DBK-CMP-100032"/>
    <s v="DBK-CUS-500032"/>
    <x v="3"/>
    <x v="3"/>
    <x v="26"/>
    <n v="50"/>
    <x v="1"/>
    <x v="19"/>
    <n v="1"/>
    <x v="1"/>
    <n v="2"/>
    <x v="8"/>
    <x v="1"/>
  </r>
  <r>
    <s v="DBK-CMP-100033"/>
    <s v="DBK-CUS-500033"/>
    <x v="2"/>
    <x v="3"/>
    <x v="19"/>
    <n v="60"/>
    <x v="1"/>
    <x v="20"/>
    <n v="1"/>
    <x v="1"/>
    <n v="2"/>
    <x v="5"/>
    <x v="1"/>
  </r>
  <r>
    <s v="DBK-CMP-100034"/>
    <s v="DBK-CUS-500034"/>
    <x v="4"/>
    <x v="2"/>
    <x v="31"/>
    <n v="64"/>
    <x v="1"/>
    <x v="21"/>
    <n v="1"/>
    <x v="1"/>
    <n v="2"/>
    <x v="3"/>
    <x v="1"/>
  </r>
  <r>
    <s v="DBK-CMP-100035"/>
    <s v="DBK-CUS-500035"/>
    <x v="3"/>
    <x v="2"/>
    <x v="32"/>
    <n v="36"/>
    <x v="2"/>
    <x v="0"/>
    <m/>
    <x v="0"/>
    <s v=" "/>
    <x v="6"/>
    <x v="1"/>
  </r>
  <r>
    <s v="DBK-CMP-100036"/>
    <s v="DBK-CUS-500036"/>
    <x v="7"/>
    <x v="1"/>
    <x v="33"/>
    <n v="13"/>
    <x v="1"/>
    <x v="22"/>
    <n v="5"/>
    <x v="1"/>
    <n v="0"/>
    <x v="8"/>
    <x v="0"/>
  </r>
  <r>
    <s v="DBK-CMP-100037"/>
    <s v="DBK-CUS-500037"/>
    <x v="2"/>
    <x v="2"/>
    <x v="34"/>
    <n v="31"/>
    <x v="1"/>
    <x v="23"/>
    <n v="2"/>
    <x v="1"/>
    <n v="1"/>
    <x v="9"/>
    <x v="1"/>
  </r>
  <r>
    <s v="DBK-CMP-100038"/>
    <s v="DBK-CUS-500038"/>
    <x v="4"/>
    <x v="1"/>
    <x v="35"/>
    <n v="64"/>
    <x v="2"/>
    <x v="0"/>
    <m/>
    <x v="0"/>
    <s v=" "/>
    <x v="10"/>
    <x v="1"/>
  </r>
  <r>
    <s v="DBK-CMP-100039"/>
    <s v="DBK-CUS-500039"/>
    <x v="0"/>
    <x v="3"/>
    <x v="36"/>
    <n v="22"/>
    <x v="1"/>
    <x v="24"/>
    <n v="3"/>
    <x v="1"/>
    <n v="0"/>
    <x v="5"/>
    <x v="0"/>
  </r>
  <r>
    <s v="DBK-CMP-100040"/>
    <s v="DBK-CUS-500040"/>
    <x v="6"/>
    <x v="3"/>
    <x v="37"/>
    <n v="10"/>
    <x v="0"/>
    <x v="0"/>
    <m/>
    <x v="0"/>
    <s v=" "/>
    <x v="0"/>
    <x v="0"/>
  </r>
  <r>
    <s v="DBK-CMP-100041"/>
    <s v="DBK-CUS-500041"/>
    <x v="4"/>
    <x v="1"/>
    <x v="38"/>
    <n v="44"/>
    <x v="1"/>
    <x v="25"/>
    <n v="2"/>
    <x v="1"/>
    <n v="1"/>
    <x v="2"/>
    <x v="1"/>
  </r>
  <r>
    <s v="DBK-CMP-100042"/>
    <s v="DBK-CUS-500042"/>
    <x v="2"/>
    <x v="2"/>
    <x v="30"/>
    <n v="69"/>
    <x v="0"/>
    <x v="0"/>
    <m/>
    <x v="0"/>
    <s v=" "/>
    <x v="9"/>
    <x v="1"/>
  </r>
  <r>
    <s v="DBK-CMP-100043"/>
    <s v="DBK-CUS-500043"/>
    <x v="0"/>
    <x v="3"/>
    <x v="39"/>
    <n v="23"/>
    <x v="0"/>
    <x v="0"/>
    <m/>
    <x v="0"/>
    <s v=" "/>
    <x v="2"/>
    <x v="0"/>
  </r>
  <r>
    <s v="DBK-CMP-100044"/>
    <s v="DBK-CUS-500044"/>
    <x v="5"/>
    <x v="4"/>
    <x v="18"/>
    <n v="10"/>
    <x v="1"/>
    <x v="26"/>
    <n v="5"/>
    <x v="1"/>
    <n v="0"/>
    <x v="3"/>
    <x v="0"/>
  </r>
  <r>
    <s v="DBK-CMP-100045"/>
    <s v="DBK-CUS-500045"/>
    <x v="5"/>
    <x v="4"/>
    <x v="40"/>
    <n v="10"/>
    <x v="1"/>
    <x v="27"/>
    <n v="4"/>
    <x v="1"/>
    <n v="0"/>
    <x v="9"/>
    <x v="0"/>
  </r>
  <r>
    <s v="DBK-CMP-100046"/>
    <s v="DBK-CUS-500046"/>
    <x v="0"/>
    <x v="4"/>
    <x v="41"/>
    <n v="6"/>
    <x v="1"/>
    <x v="28"/>
    <n v="5"/>
    <x v="1"/>
    <n v="0"/>
    <x v="4"/>
    <x v="0"/>
  </r>
  <r>
    <s v="DBK-CMP-100047"/>
    <s v="DBK-CUS-500047"/>
    <x v="5"/>
    <x v="1"/>
    <x v="42"/>
    <n v="8"/>
    <x v="1"/>
    <x v="29"/>
    <n v="4"/>
    <x v="1"/>
    <n v="0"/>
    <x v="9"/>
    <x v="0"/>
  </r>
  <r>
    <s v="DBK-CMP-100048"/>
    <s v="DBK-CUS-500048"/>
    <x v="4"/>
    <x v="1"/>
    <x v="43"/>
    <n v="51"/>
    <x v="1"/>
    <x v="30"/>
    <n v="1"/>
    <x v="1"/>
    <n v="2"/>
    <x v="11"/>
    <x v="1"/>
  </r>
  <r>
    <s v="DBK-CMP-100049"/>
    <s v="DBK-CUS-500049"/>
    <x v="6"/>
    <x v="4"/>
    <x v="44"/>
    <n v="15"/>
    <x v="1"/>
    <x v="31"/>
    <n v="3"/>
    <x v="1"/>
    <n v="0"/>
    <x v="10"/>
    <x v="0"/>
  </r>
  <r>
    <s v="DBK-CMP-100050"/>
    <s v="DBK-CUS-500050"/>
    <x v="0"/>
    <x v="3"/>
    <x v="45"/>
    <n v="15"/>
    <x v="0"/>
    <x v="0"/>
    <m/>
    <x v="0"/>
    <s v=" "/>
    <x v="4"/>
    <x v="0"/>
  </r>
  <r>
    <s v="DBK-CMP-100051"/>
    <s v="DBK-CUS-500051"/>
    <x v="2"/>
    <x v="4"/>
    <x v="46"/>
    <n v="65"/>
    <x v="0"/>
    <x v="0"/>
    <m/>
    <x v="0"/>
    <s v=" "/>
    <x v="10"/>
    <x v="1"/>
  </r>
  <r>
    <s v="DBK-CMP-100052"/>
    <s v="DBK-CUS-500052"/>
    <x v="5"/>
    <x v="0"/>
    <x v="47"/>
    <n v="6"/>
    <x v="0"/>
    <x v="0"/>
    <m/>
    <x v="0"/>
    <s v=" "/>
    <x v="6"/>
    <x v="0"/>
  </r>
  <r>
    <s v="DBK-CMP-100053"/>
    <s v="DBK-CUS-500053"/>
    <x v="6"/>
    <x v="2"/>
    <x v="48"/>
    <n v="13"/>
    <x v="1"/>
    <x v="32"/>
    <n v="3"/>
    <x v="1"/>
    <n v="0"/>
    <x v="9"/>
    <x v="0"/>
  </r>
  <r>
    <s v="DBK-CMP-100054"/>
    <s v="DBK-CUS-500054"/>
    <x v="0"/>
    <x v="0"/>
    <x v="49"/>
    <n v="14"/>
    <x v="2"/>
    <x v="0"/>
    <m/>
    <x v="0"/>
    <s v=" "/>
    <x v="7"/>
    <x v="0"/>
  </r>
  <r>
    <s v="DBK-CMP-100055"/>
    <s v="DBK-CUS-500055"/>
    <x v="7"/>
    <x v="0"/>
    <x v="50"/>
    <n v="21"/>
    <x v="0"/>
    <x v="0"/>
    <m/>
    <x v="0"/>
    <s v=" "/>
    <x v="9"/>
    <x v="0"/>
  </r>
  <r>
    <s v="DBK-CMP-100056"/>
    <s v="DBK-CUS-500056"/>
    <x v="2"/>
    <x v="3"/>
    <x v="51"/>
    <n v="95"/>
    <x v="1"/>
    <x v="33"/>
    <n v="1"/>
    <x v="1"/>
    <n v="3"/>
    <x v="9"/>
    <x v="2"/>
  </r>
  <r>
    <s v="DBK-CMP-100057"/>
    <s v="DBK-CUS-500057"/>
    <x v="4"/>
    <x v="1"/>
    <x v="52"/>
    <n v="72"/>
    <x v="1"/>
    <x v="22"/>
    <n v="1"/>
    <x v="1"/>
    <n v="3"/>
    <x v="8"/>
    <x v="1"/>
  </r>
  <r>
    <s v="DBK-CMP-100058"/>
    <s v="DBK-CUS-500058"/>
    <x v="5"/>
    <x v="0"/>
    <x v="53"/>
    <n v="6"/>
    <x v="0"/>
    <x v="0"/>
    <m/>
    <x v="0"/>
    <s v=" "/>
    <x v="4"/>
    <x v="0"/>
  </r>
  <r>
    <s v="DBK-CMP-100059"/>
    <s v="DBK-CUS-500059"/>
    <x v="2"/>
    <x v="4"/>
    <x v="54"/>
    <n v="72"/>
    <x v="1"/>
    <x v="34"/>
    <n v="1"/>
    <x v="1"/>
    <n v="3"/>
    <x v="2"/>
    <x v="1"/>
  </r>
  <r>
    <s v="DBK-CMP-100060"/>
    <s v="DBK-CUS-500060"/>
    <x v="3"/>
    <x v="1"/>
    <x v="55"/>
    <n v="43"/>
    <x v="0"/>
    <x v="0"/>
    <m/>
    <x v="0"/>
    <s v=" "/>
    <x v="4"/>
    <x v="1"/>
  </r>
  <r>
    <s v="DBK-CMP-100061"/>
    <s v="DBK-CUS-500061"/>
    <x v="0"/>
    <x v="2"/>
    <x v="56"/>
    <n v="5"/>
    <x v="1"/>
    <x v="35"/>
    <n v="5"/>
    <x v="1"/>
    <n v="0"/>
    <x v="7"/>
    <x v="0"/>
  </r>
  <r>
    <s v="DBK-CMP-100062"/>
    <s v="DBK-CUS-500062"/>
    <x v="2"/>
    <x v="3"/>
    <x v="57"/>
    <n v="87"/>
    <x v="1"/>
    <x v="36"/>
    <n v="5"/>
    <x v="1"/>
    <n v="3"/>
    <x v="4"/>
    <x v="2"/>
  </r>
  <r>
    <s v="DBK-CMP-100063"/>
    <s v="DBK-CUS-500063"/>
    <x v="2"/>
    <x v="2"/>
    <x v="58"/>
    <n v="35"/>
    <x v="1"/>
    <x v="37"/>
    <n v="5"/>
    <x v="1"/>
    <n v="1"/>
    <x v="11"/>
    <x v="1"/>
  </r>
  <r>
    <s v="DBK-CMP-100064"/>
    <s v="DBK-CUS-500064"/>
    <x v="6"/>
    <x v="3"/>
    <x v="36"/>
    <n v="12"/>
    <x v="0"/>
    <x v="0"/>
    <m/>
    <x v="0"/>
    <s v=" "/>
    <x v="5"/>
    <x v="0"/>
  </r>
  <r>
    <s v="DBK-CMP-100065"/>
    <s v="DBK-CUS-500065"/>
    <x v="5"/>
    <x v="0"/>
    <x v="59"/>
    <n v="11"/>
    <x v="1"/>
    <x v="38"/>
    <n v="4"/>
    <x v="1"/>
    <n v="0"/>
    <x v="11"/>
    <x v="0"/>
  </r>
  <r>
    <s v="DBK-CMP-100066"/>
    <s v="DBK-CUS-500066"/>
    <x v="2"/>
    <x v="4"/>
    <x v="41"/>
    <n v="30"/>
    <x v="1"/>
    <x v="39"/>
    <n v="2"/>
    <x v="1"/>
    <n v="1"/>
    <x v="4"/>
    <x v="1"/>
  </r>
  <r>
    <s v="DBK-CMP-100067"/>
    <s v="DBK-CUS-500067"/>
    <x v="3"/>
    <x v="2"/>
    <x v="32"/>
    <n v="53"/>
    <x v="2"/>
    <x v="0"/>
    <m/>
    <x v="0"/>
    <s v=" "/>
    <x v="6"/>
    <x v="1"/>
  </r>
  <r>
    <s v="DBK-CMP-100068"/>
    <s v="DBK-CUS-500068"/>
    <x v="1"/>
    <x v="2"/>
    <x v="60"/>
    <n v="28"/>
    <x v="1"/>
    <x v="40"/>
    <n v="2"/>
    <x v="1"/>
    <n v="1"/>
    <x v="5"/>
    <x v="1"/>
  </r>
  <r>
    <s v="DBK-CMP-100069"/>
    <s v="DBK-CUS-500069"/>
    <x v="4"/>
    <x v="2"/>
    <x v="61"/>
    <n v="38"/>
    <x v="1"/>
    <x v="3"/>
    <n v="2"/>
    <x v="1"/>
    <n v="1"/>
    <x v="2"/>
    <x v="1"/>
  </r>
  <r>
    <s v="DBK-CMP-100070"/>
    <s v="DBK-CUS-500070"/>
    <x v="5"/>
    <x v="3"/>
    <x v="62"/>
    <n v="10"/>
    <x v="0"/>
    <x v="0"/>
    <m/>
    <x v="0"/>
    <s v=" "/>
    <x v="8"/>
    <x v="0"/>
  </r>
  <r>
    <s v="DBK-CMP-100071"/>
    <s v="DBK-CUS-500071"/>
    <x v="1"/>
    <x v="4"/>
    <x v="63"/>
    <n v="28"/>
    <x v="0"/>
    <x v="0"/>
    <m/>
    <x v="0"/>
    <s v=" "/>
    <x v="10"/>
    <x v="1"/>
  </r>
  <r>
    <s v="DBK-CMP-100072"/>
    <s v="DBK-CUS-500072"/>
    <x v="5"/>
    <x v="1"/>
    <x v="51"/>
    <n v="8"/>
    <x v="1"/>
    <x v="41"/>
    <n v="4"/>
    <x v="1"/>
    <n v="0"/>
    <x v="9"/>
    <x v="0"/>
  </r>
  <r>
    <s v="DBK-CMP-100073"/>
    <s v="DBK-CUS-500073"/>
    <x v="4"/>
    <x v="3"/>
    <x v="64"/>
    <n v="35"/>
    <x v="1"/>
    <x v="42"/>
    <n v="5"/>
    <x v="1"/>
    <n v="1"/>
    <x v="10"/>
    <x v="1"/>
  </r>
  <r>
    <s v="DBK-CMP-100074"/>
    <s v="DBK-CUS-500074"/>
    <x v="7"/>
    <x v="3"/>
    <x v="36"/>
    <n v="10"/>
    <x v="1"/>
    <x v="24"/>
    <n v="4"/>
    <x v="1"/>
    <n v="0"/>
    <x v="5"/>
    <x v="0"/>
  </r>
  <r>
    <s v="DBK-CMP-100075"/>
    <s v="DBK-CUS-500075"/>
    <x v="0"/>
    <x v="3"/>
    <x v="65"/>
    <n v="46"/>
    <x v="0"/>
    <x v="0"/>
    <m/>
    <x v="0"/>
    <s v=" "/>
    <x v="3"/>
    <x v="1"/>
  </r>
  <r>
    <s v="DBK-CMP-100076"/>
    <s v="DBK-CUS-500076"/>
    <x v="1"/>
    <x v="4"/>
    <x v="66"/>
    <n v="9"/>
    <x v="1"/>
    <x v="43"/>
    <n v="4"/>
    <x v="1"/>
    <n v="0"/>
    <x v="2"/>
    <x v="0"/>
  </r>
  <r>
    <s v="DBK-CMP-100077"/>
    <s v="DBK-CUS-500077"/>
    <x v="1"/>
    <x v="2"/>
    <x v="67"/>
    <n v="6"/>
    <x v="1"/>
    <x v="44"/>
    <n v="5"/>
    <x v="1"/>
    <n v="0"/>
    <x v="8"/>
    <x v="0"/>
  </r>
  <r>
    <s v="DBK-CMP-100078"/>
    <s v="DBK-CUS-500078"/>
    <x v="5"/>
    <x v="2"/>
    <x v="68"/>
    <n v="8"/>
    <x v="1"/>
    <x v="45"/>
    <n v="4"/>
    <x v="1"/>
    <n v="0"/>
    <x v="11"/>
    <x v="0"/>
  </r>
  <r>
    <s v="DBK-CMP-100079"/>
    <s v="DBK-CUS-500079"/>
    <x v="2"/>
    <x v="3"/>
    <x v="69"/>
    <n v="64"/>
    <x v="1"/>
    <x v="46"/>
    <n v="1"/>
    <x v="1"/>
    <n v="2"/>
    <x v="6"/>
    <x v="1"/>
  </r>
  <r>
    <s v="DBK-CMP-100080"/>
    <s v="DBK-CUS-500080"/>
    <x v="1"/>
    <x v="4"/>
    <x v="70"/>
    <n v="10"/>
    <x v="0"/>
    <x v="0"/>
    <m/>
    <x v="0"/>
    <s v=" "/>
    <x v="4"/>
    <x v="0"/>
  </r>
  <r>
    <s v="DBK-CMP-100081"/>
    <s v="DBK-CUS-500081"/>
    <x v="4"/>
    <x v="4"/>
    <x v="71"/>
    <n v="58"/>
    <x v="0"/>
    <x v="0"/>
    <m/>
    <x v="0"/>
    <s v=" "/>
    <x v="0"/>
    <x v="1"/>
  </r>
  <r>
    <s v="DBK-CMP-100082"/>
    <s v="DBK-CUS-500082"/>
    <x v="3"/>
    <x v="1"/>
    <x v="72"/>
    <n v="41"/>
    <x v="1"/>
    <x v="47"/>
    <n v="5"/>
    <x v="1"/>
    <n v="1"/>
    <x v="6"/>
    <x v="1"/>
  </r>
  <r>
    <s v="DBK-CMP-100083"/>
    <s v="DBK-CUS-500083"/>
    <x v="6"/>
    <x v="4"/>
    <x v="73"/>
    <n v="20"/>
    <x v="1"/>
    <x v="48"/>
    <n v="3"/>
    <x v="1"/>
    <n v="0"/>
    <x v="4"/>
    <x v="0"/>
  </r>
  <r>
    <s v="DBK-CMP-100084"/>
    <s v="DBK-CUS-500084"/>
    <x v="0"/>
    <x v="3"/>
    <x v="14"/>
    <n v="28"/>
    <x v="2"/>
    <x v="0"/>
    <m/>
    <x v="0"/>
    <s v=" "/>
    <x v="7"/>
    <x v="1"/>
  </r>
  <r>
    <s v="DBK-CMP-100085"/>
    <s v="DBK-CUS-500085"/>
    <x v="0"/>
    <x v="1"/>
    <x v="74"/>
    <n v="45"/>
    <x v="1"/>
    <x v="49"/>
    <n v="2"/>
    <x v="1"/>
    <n v="1"/>
    <x v="0"/>
    <x v="1"/>
  </r>
  <r>
    <s v="DBK-CMP-100086"/>
    <s v="DBK-CUS-500086"/>
    <x v="5"/>
    <x v="4"/>
    <x v="75"/>
    <n v="7"/>
    <x v="2"/>
    <x v="0"/>
    <m/>
    <x v="0"/>
    <s v=" "/>
    <x v="3"/>
    <x v="0"/>
  </r>
  <r>
    <s v="DBK-CMP-100087"/>
    <s v="DBK-CUS-500087"/>
    <x v="4"/>
    <x v="4"/>
    <x v="76"/>
    <n v="41"/>
    <x v="0"/>
    <x v="0"/>
    <m/>
    <x v="0"/>
    <s v=" "/>
    <x v="3"/>
    <x v="1"/>
  </r>
  <r>
    <s v="DBK-CMP-100088"/>
    <s v="DBK-CUS-500088"/>
    <x v="5"/>
    <x v="0"/>
    <x v="77"/>
    <n v="8"/>
    <x v="1"/>
    <x v="19"/>
    <n v="4"/>
    <x v="1"/>
    <n v="0"/>
    <x v="10"/>
    <x v="0"/>
  </r>
  <r>
    <s v="DBK-CMP-100089"/>
    <s v="DBK-CUS-500089"/>
    <x v="5"/>
    <x v="3"/>
    <x v="63"/>
    <n v="3"/>
    <x v="2"/>
    <x v="0"/>
    <m/>
    <x v="0"/>
    <s v=" "/>
    <x v="10"/>
    <x v="0"/>
  </r>
  <r>
    <s v="DBK-CMP-100090"/>
    <s v="DBK-CUS-500090"/>
    <x v="5"/>
    <x v="1"/>
    <x v="34"/>
    <n v="10"/>
    <x v="2"/>
    <x v="0"/>
    <m/>
    <x v="0"/>
    <s v=" "/>
    <x v="9"/>
    <x v="0"/>
  </r>
  <r>
    <s v="DBK-CMP-100091"/>
    <s v="DBK-CUS-500091"/>
    <x v="5"/>
    <x v="4"/>
    <x v="78"/>
    <n v="6"/>
    <x v="1"/>
    <x v="50"/>
    <n v="5"/>
    <x v="1"/>
    <n v="0"/>
    <x v="5"/>
    <x v="0"/>
  </r>
  <r>
    <s v="DBK-CMP-100092"/>
    <s v="DBK-CUS-500092"/>
    <x v="7"/>
    <x v="3"/>
    <x v="5"/>
    <n v="11"/>
    <x v="1"/>
    <x v="51"/>
    <n v="5"/>
    <x v="1"/>
    <n v="0"/>
    <x v="4"/>
    <x v="0"/>
  </r>
  <r>
    <s v="DBK-CMP-100093"/>
    <s v="DBK-CUS-500093"/>
    <x v="6"/>
    <x v="4"/>
    <x v="79"/>
    <n v="23"/>
    <x v="1"/>
    <x v="52"/>
    <n v="3"/>
    <x v="1"/>
    <n v="0"/>
    <x v="2"/>
    <x v="0"/>
  </r>
  <r>
    <s v="DBK-CMP-100094"/>
    <s v="DBK-CUS-500094"/>
    <x v="5"/>
    <x v="2"/>
    <x v="9"/>
    <n v="10"/>
    <x v="1"/>
    <x v="53"/>
    <n v="4"/>
    <x v="1"/>
    <n v="0"/>
    <x v="3"/>
    <x v="0"/>
  </r>
  <r>
    <s v="DBK-CMP-100095"/>
    <s v="DBK-CUS-500095"/>
    <x v="3"/>
    <x v="0"/>
    <x v="80"/>
    <n v="29"/>
    <x v="0"/>
    <x v="0"/>
    <m/>
    <x v="0"/>
    <s v=" "/>
    <x v="10"/>
    <x v="1"/>
  </r>
  <r>
    <s v="DBK-CMP-100096"/>
    <s v="DBK-CUS-500096"/>
    <x v="3"/>
    <x v="1"/>
    <x v="6"/>
    <n v="28"/>
    <x v="1"/>
    <x v="54"/>
    <n v="2"/>
    <x v="1"/>
    <n v="1"/>
    <x v="5"/>
    <x v="1"/>
  </r>
  <r>
    <s v="DBK-CMP-100097"/>
    <s v="DBK-CUS-500097"/>
    <x v="3"/>
    <x v="1"/>
    <x v="81"/>
    <n v="13"/>
    <x v="1"/>
    <x v="13"/>
    <n v="5"/>
    <x v="1"/>
    <n v="0"/>
    <x v="10"/>
    <x v="0"/>
  </r>
  <r>
    <s v="DBK-CMP-100098"/>
    <s v="DBK-CUS-500098"/>
    <x v="6"/>
    <x v="1"/>
    <x v="82"/>
    <n v="21"/>
    <x v="0"/>
    <x v="0"/>
    <m/>
    <x v="0"/>
    <s v=" "/>
    <x v="1"/>
    <x v="0"/>
  </r>
  <r>
    <s v="DBK-CMP-100099"/>
    <s v="DBK-CUS-500099"/>
    <x v="2"/>
    <x v="3"/>
    <x v="83"/>
    <n v="42"/>
    <x v="1"/>
    <x v="55"/>
    <n v="2"/>
    <x v="1"/>
    <n v="1"/>
    <x v="6"/>
    <x v="1"/>
  </r>
  <r>
    <s v="DBK-CMP-100100"/>
    <s v="DBK-CUS-500100"/>
    <x v="6"/>
    <x v="0"/>
    <x v="84"/>
    <n v="9"/>
    <x v="2"/>
    <x v="0"/>
    <m/>
    <x v="0"/>
    <s v=" "/>
    <x v="1"/>
    <x v="0"/>
  </r>
  <r>
    <s v="DBK-CMP-100101"/>
    <s v="DBK-CUS-500101"/>
    <x v="0"/>
    <x v="3"/>
    <x v="85"/>
    <n v="12"/>
    <x v="1"/>
    <x v="56"/>
    <n v="4"/>
    <x v="1"/>
    <n v="0"/>
    <x v="0"/>
    <x v="0"/>
  </r>
  <r>
    <s v="DBK-CMP-100102"/>
    <s v="DBK-CUS-500102"/>
    <x v="7"/>
    <x v="4"/>
    <x v="86"/>
    <n v="3"/>
    <x v="1"/>
    <x v="57"/>
    <n v="5"/>
    <x v="1"/>
    <n v="0"/>
    <x v="11"/>
    <x v="0"/>
  </r>
  <r>
    <s v="DBK-CMP-100103"/>
    <s v="DBK-CUS-500103"/>
    <x v="4"/>
    <x v="4"/>
    <x v="87"/>
    <n v="58"/>
    <x v="1"/>
    <x v="58"/>
    <n v="1"/>
    <x v="1"/>
    <n v="2"/>
    <x v="1"/>
    <x v="1"/>
  </r>
  <r>
    <s v="DBK-CMP-100104"/>
    <s v="DBK-CUS-500104"/>
    <x v="3"/>
    <x v="0"/>
    <x v="26"/>
    <n v="6"/>
    <x v="1"/>
    <x v="59"/>
    <n v="5"/>
    <x v="1"/>
    <n v="0"/>
    <x v="8"/>
    <x v="0"/>
  </r>
  <r>
    <s v="DBK-CMP-100105"/>
    <s v="DBK-CUS-500105"/>
    <x v="7"/>
    <x v="0"/>
    <x v="25"/>
    <n v="14"/>
    <x v="0"/>
    <x v="0"/>
    <m/>
    <x v="0"/>
    <s v=" "/>
    <x v="8"/>
    <x v="0"/>
  </r>
  <r>
    <s v="DBK-CMP-100106"/>
    <s v="DBK-CUS-500106"/>
    <x v="6"/>
    <x v="1"/>
    <x v="88"/>
    <n v="18"/>
    <x v="1"/>
    <x v="60"/>
    <n v="3"/>
    <x v="1"/>
    <n v="0"/>
    <x v="6"/>
    <x v="0"/>
  </r>
  <r>
    <s v="DBK-CMP-100107"/>
    <s v="DBK-CUS-500107"/>
    <x v="2"/>
    <x v="4"/>
    <x v="89"/>
    <n v="52"/>
    <x v="1"/>
    <x v="4"/>
    <n v="1"/>
    <x v="1"/>
    <n v="2"/>
    <x v="6"/>
    <x v="1"/>
  </r>
  <r>
    <s v="DBK-CMP-100108"/>
    <s v="DBK-CUS-500108"/>
    <x v="4"/>
    <x v="1"/>
    <x v="90"/>
    <n v="8"/>
    <x v="1"/>
    <x v="61"/>
    <n v="4"/>
    <x v="1"/>
    <n v="0"/>
    <x v="2"/>
    <x v="0"/>
  </r>
  <r>
    <s v="DBK-CMP-100109"/>
    <s v="DBK-CUS-500109"/>
    <x v="6"/>
    <x v="0"/>
    <x v="74"/>
    <n v="18"/>
    <x v="2"/>
    <x v="0"/>
    <m/>
    <x v="0"/>
    <s v=" "/>
    <x v="0"/>
    <x v="0"/>
  </r>
  <r>
    <s v="DBK-CMP-100110"/>
    <s v="DBK-CUS-500110"/>
    <x v="4"/>
    <x v="4"/>
    <x v="91"/>
    <n v="23"/>
    <x v="1"/>
    <x v="62"/>
    <n v="3"/>
    <x v="1"/>
    <n v="0"/>
    <x v="0"/>
    <x v="0"/>
  </r>
  <r>
    <s v="DBK-CMP-100111"/>
    <s v="DBK-CUS-500111"/>
    <x v="2"/>
    <x v="4"/>
    <x v="88"/>
    <n v="77"/>
    <x v="1"/>
    <x v="63"/>
    <n v="1"/>
    <x v="1"/>
    <n v="3"/>
    <x v="6"/>
    <x v="2"/>
  </r>
  <r>
    <s v="DBK-CMP-100112"/>
    <s v="DBK-CUS-500112"/>
    <x v="4"/>
    <x v="1"/>
    <x v="30"/>
    <n v="60"/>
    <x v="1"/>
    <x v="64"/>
    <n v="5"/>
    <x v="1"/>
    <n v="2"/>
    <x v="9"/>
    <x v="1"/>
  </r>
  <r>
    <s v="DBK-CMP-100113"/>
    <s v="DBK-CUS-500113"/>
    <x v="7"/>
    <x v="4"/>
    <x v="92"/>
    <n v="24"/>
    <x v="1"/>
    <x v="65"/>
    <n v="3"/>
    <x v="1"/>
    <n v="1"/>
    <x v="2"/>
    <x v="0"/>
  </r>
  <r>
    <s v="DBK-CMP-100114"/>
    <s v="DBK-CUS-500114"/>
    <x v="0"/>
    <x v="0"/>
    <x v="93"/>
    <n v="33"/>
    <x v="2"/>
    <x v="0"/>
    <m/>
    <x v="0"/>
    <s v=" "/>
    <x v="1"/>
    <x v="1"/>
  </r>
  <r>
    <s v="DBK-CMP-100115"/>
    <s v="DBK-CUS-500115"/>
    <x v="4"/>
    <x v="0"/>
    <x v="94"/>
    <n v="64"/>
    <x v="1"/>
    <x v="66"/>
    <n v="1"/>
    <x v="1"/>
    <n v="2"/>
    <x v="7"/>
    <x v="1"/>
  </r>
  <r>
    <s v="DBK-CMP-100116"/>
    <s v="DBK-CUS-500116"/>
    <x v="6"/>
    <x v="2"/>
    <x v="95"/>
    <n v="10"/>
    <x v="1"/>
    <x v="67"/>
    <n v="4"/>
    <x v="1"/>
    <n v="0"/>
    <x v="11"/>
    <x v="0"/>
  </r>
  <r>
    <s v="DBK-CMP-100117"/>
    <s v="DBK-CUS-500117"/>
    <x v="6"/>
    <x v="3"/>
    <x v="82"/>
    <n v="9"/>
    <x v="0"/>
    <x v="0"/>
    <m/>
    <x v="0"/>
    <s v=" "/>
    <x v="1"/>
    <x v="0"/>
  </r>
  <r>
    <s v="DBK-CMP-100118"/>
    <s v="DBK-CUS-500118"/>
    <x v="2"/>
    <x v="4"/>
    <x v="96"/>
    <n v="49"/>
    <x v="1"/>
    <x v="68"/>
    <n v="1"/>
    <x v="1"/>
    <n v="2"/>
    <x v="7"/>
    <x v="1"/>
  </r>
  <r>
    <s v="DBK-CMP-100119"/>
    <s v="DBK-CUS-500119"/>
    <x v="0"/>
    <x v="1"/>
    <x v="97"/>
    <n v="39"/>
    <x v="2"/>
    <x v="0"/>
    <m/>
    <x v="0"/>
    <s v=" "/>
    <x v="10"/>
    <x v="1"/>
  </r>
  <r>
    <s v="DBK-CMP-100120"/>
    <s v="DBK-CUS-500120"/>
    <x v="6"/>
    <x v="3"/>
    <x v="98"/>
    <n v="18"/>
    <x v="1"/>
    <x v="69"/>
    <n v="3"/>
    <x v="1"/>
    <n v="0"/>
    <x v="9"/>
    <x v="0"/>
  </r>
  <r>
    <s v="DBK-CMP-100121"/>
    <s v="DBK-CUS-500121"/>
    <x v="4"/>
    <x v="4"/>
    <x v="99"/>
    <n v="37"/>
    <x v="2"/>
    <x v="0"/>
    <m/>
    <x v="0"/>
    <s v=" "/>
    <x v="2"/>
    <x v="1"/>
  </r>
  <r>
    <s v="DBK-CMP-100122"/>
    <s v="DBK-CUS-500122"/>
    <x v="4"/>
    <x v="0"/>
    <x v="100"/>
    <n v="36"/>
    <x v="1"/>
    <x v="70"/>
    <n v="2"/>
    <x v="1"/>
    <n v="1"/>
    <x v="0"/>
    <x v="1"/>
  </r>
  <r>
    <s v="DBK-CMP-100123"/>
    <s v="DBK-CUS-500123"/>
    <x v="0"/>
    <x v="3"/>
    <x v="70"/>
    <n v="47"/>
    <x v="1"/>
    <x v="71"/>
    <n v="2"/>
    <x v="1"/>
    <n v="1"/>
    <x v="4"/>
    <x v="1"/>
  </r>
  <r>
    <s v="DBK-CMP-100124"/>
    <s v="DBK-CUS-500124"/>
    <x v="2"/>
    <x v="3"/>
    <x v="101"/>
    <n v="38"/>
    <x v="1"/>
    <x v="72"/>
    <n v="2"/>
    <x v="1"/>
    <n v="1"/>
    <x v="4"/>
    <x v="1"/>
  </r>
  <r>
    <s v="DBK-CMP-100125"/>
    <s v="DBK-CUS-500125"/>
    <x v="6"/>
    <x v="4"/>
    <x v="102"/>
    <n v="12"/>
    <x v="1"/>
    <x v="73"/>
    <n v="4"/>
    <x v="1"/>
    <n v="0"/>
    <x v="7"/>
    <x v="0"/>
  </r>
  <r>
    <s v="DBK-CMP-100126"/>
    <s v="DBK-CUS-500126"/>
    <x v="5"/>
    <x v="3"/>
    <x v="63"/>
    <n v="12"/>
    <x v="1"/>
    <x v="74"/>
    <n v="4"/>
    <x v="1"/>
    <n v="0"/>
    <x v="10"/>
    <x v="0"/>
  </r>
  <r>
    <s v="DBK-CMP-100127"/>
    <s v="DBK-CUS-500127"/>
    <x v="0"/>
    <x v="3"/>
    <x v="103"/>
    <n v="14"/>
    <x v="2"/>
    <x v="0"/>
    <m/>
    <x v="0"/>
    <s v=" "/>
    <x v="5"/>
    <x v="0"/>
  </r>
  <r>
    <s v="DBK-CMP-100128"/>
    <s v="DBK-CUS-500128"/>
    <x v="2"/>
    <x v="1"/>
    <x v="41"/>
    <n v="58"/>
    <x v="1"/>
    <x v="75"/>
    <n v="1"/>
    <x v="1"/>
    <n v="2"/>
    <x v="4"/>
    <x v="1"/>
  </r>
  <r>
    <s v="DBK-CMP-100129"/>
    <s v="DBK-CUS-500129"/>
    <x v="0"/>
    <x v="3"/>
    <x v="104"/>
    <n v="47"/>
    <x v="1"/>
    <x v="76"/>
    <n v="2"/>
    <x v="1"/>
    <n v="1"/>
    <x v="3"/>
    <x v="1"/>
  </r>
  <r>
    <s v="DBK-CMP-100130"/>
    <s v="DBK-CUS-500130"/>
    <x v="1"/>
    <x v="1"/>
    <x v="105"/>
    <n v="36"/>
    <x v="0"/>
    <x v="0"/>
    <m/>
    <x v="0"/>
    <s v=" "/>
    <x v="11"/>
    <x v="1"/>
  </r>
  <r>
    <s v="DBK-CMP-100131"/>
    <s v="DBK-CUS-500131"/>
    <x v="6"/>
    <x v="4"/>
    <x v="71"/>
    <n v="23"/>
    <x v="1"/>
    <x v="77"/>
    <n v="3"/>
    <x v="1"/>
    <n v="0"/>
    <x v="0"/>
    <x v="0"/>
  </r>
  <r>
    <s v="DBK-CMP-100132"/>
    <s v="DBK-CUS-500132"/>
    <x v="3"/>
    <x v="3"/>
    <x v="106"/>
    <n v="62"/>
    <x v="1"/>
    <x v="67"/>
    <n v="5"/>
    <x v="1"/>
    <n v="2"/>
    <x v="11"/>
    <x v="1"/>
  </r>
  <r>
    <s v="DBK-CMP-100133"/>
    <s v="DBK-CUS-500133"/>
    <x v="6"/>
    <x v="2"/>
    <x v="107"/>
    <n v="20"/>
    <x v="2"/>
    <x v="0"/>
    <m/>
    <x v="0"/>
    <s v=" "/>
    <x v="0"/>
    <x v="0"/>
  </r>
  <r>
    <s v="DBK-CMP-100134"/>
    <s v="DBK-CUS-500134"/>
    <x v="7"/>
    <x v="0"/>
    <x v="108"/>
    <n v="14"/>
    <x v="1"/>
    <x v="78"/>
    <n v="3"/>
    <x v="1"/>
    <n v="0"/>
    <x v="7"/>
    <x v="0"/>
  </r>
  <r>
    <s v="DBK-CMP-100135"/>
    <s v="DBK-CUS-500135"/>
    <x v="6"/>
    <x v="1"/>
    <x v="109"/>
    <n v="19"/>
    <x v="0"/>
    <x v="0"/>
    <m/>
    <x v="0"/>
    <s v=" "/>
    <x v="0"/>
    <x v="0"/>
  </r>
  <r>
    <s v="DBK-CMP-100136"/>
    <s v="DBK-CUS-500136"/>
    <x v="1"/>
    <x v="2"/>
    <x v="110"/>
    <n v="33"/>
    <x v="1"/>
    <x v="79"/>
    <n v="2"/>
    <x v="1"/>
    <n v="1"/>
    <x v="1"/>
    <x v="1"/>
  </r>
  <r>
    <s v="DBK-CMP-100137"/>
    <s v="DBK-CUS-500137"/>
    <x v="5"/>
    <x v="4"/>
    <x v="39"/>
    <n v="6"/>
    <x v="1"/>
    <x v="80"/>
    <n v="5"/>
    <x v="1"/>
    <n v="0"/>
    <x v="2"/>
    <x v="0"/>
  </r>
  <r>
    <s v="DBK-CMP-100138"/>
    <s v="DBK-CUS-500138"/>
    <x v="3"/>
    <x v="3"/>
    <x v="111"/>
    <n v="36"/>
    <x v="2"/>
    <x v="0"/>
    <m/>
    <x v="0"/>
    <s v=" "/>
    <x v="6"/>
    <x v="1"/>
  </r>
  <r>
    <s v="DBK-CMP-100139"/>
    <s v="DBK-CUS-500139"/>
    <x v="1"/>
    <x v="2"/>
    <x v="112"/>
    <n v="29"/>
    <x v="1"/>
    <x v="81"/>
    <n v="5"/>
    <x v="1"/>
    <n v="1"/>
    <x v="5"/>
    <x v="1"/>
  </r>
  <r>
    <s v="DBK-CMP-100140"/>
    <s v="DBK-CUS-500140"/>
    <x v="5"/>
    <x v="0"/>
    <x v="113"/>
    <n v="3"/>
    <x v="2"/>
    <x v="0"/>
    <m/>
    <x v="0"/>
    <s v=" "/>
    <x v="4"/>
    <x v="0"/>
  </r>
  <r>
    <s v="DBK-CMP-100141"/>
    <s v="DBK-CUS-500141"/>
    <x v="2"/>
    <x v="1"/>
    <x v="114"/>
    <n v="76"/>
    <x v="0"/>
    <x v="0"/>
    <m/>
    <x v="0"/>
    <s v=" "/>
    <x v="3"/>
    <x v="2"/>
  </r>
  <r>
    <s v="DBK-CMP-100142"/>
    <s v="DBK-CUS-500142"/>
    <x v="6"/>
    <x v="4"/>
    <x v="28"/>
    <n v="22"/>
    <x v="0"/>
    <x v="0"/>
    <m/>
    <x v="0"/>
    <s v=" "/>
    <x v="7"/>
    <x v="0"/>
  </r>
  <r>
    <s v="DBK-CMP-100143"/>
    <s v="DBK-CUS-500143"/>
    <x v="3"/>
    <x v="3"/>
    <x v="20"/>
    <n v="29"/>
    <x v="1"/>
    <x v="26"/>
    <n v="2"/>
    <x v="1"/>
    <n v="1"/>
    <x v="10"/>
    <x v="1"/>
  </r>
  <r>
    <s v="DBK-CMP-100144"/>
    <s v="DBK-CUS-500144"/>
    <x v="1"/>
    <x v="1"/>
    <x v="38"/>
    <n v="27"/>
    <x v="2"/>
    <x v="0"/>
    <m/>
    <x v="0"/>
    <s v=" "/>
    <x v="2"/>
    <x v="1"/>
  </r>
  <r>
    <s v="DBK-CMP-100145"/>
    <s v="DBK-CUS-500145"/>
    <x v="0"/>
    <x v="1"/>
    <x v="115"/>
    <n v="6"/>
    <x v="1"/>
    <x v="82"/>
    <n v="5"/>
    <x v="1"/>
    <n v="0"/>
    <x v="9"/>
    <x v="0"/>
  </r>
  <r>
    <s v="DBK-CMP-100146"/>
    <s v="DBK-CUS-500146"/>
    <x v="1"/>
    <x v="0"/>
    <x v="45"/>
    <n v="26"/>
    <x v="1"/>
    <x v="83"/>
    <n v="2"/>
    <x v="1"/>
    <n v="1"/>
    <x v="4"/>
    <x v="1"/>
  </r>
  <r>
    <s v="DBK-CMP-100147"/>
    <s v="DBK-CUS-500147"/>
    <x v="1"/>
    <x v="3"/>
    <x v="116"/>
    <n v="20"/>
    <x v="1"/>
    <x v="84"/>
    <n v="3"/>
    <x v="1"/>
    <n v="0"/>
    <x v="0"/>
    <x v="0"/>
  </r>
  <r>
    <s v="DBK-CMP-100148"/>
    <s v="DBK-CUS-500148"/>
    <x v="6"/>
    <x v="4"/>
    <x v="57"/>
    <n v="23"/>
    <x v="1"/>
    <x v="85"/>
    <n v="3"/>
    <x v="1"/>
    <n v="0"/>
    <x v="4"/>
    <x v="0"/>
  </r>
  <r>
    <s v="DBK-CMP-100149"/>
    <s v="DBK-CUS-500149"/>
    <x v="1"/>
    <x v="2"/>
    <x v="116"/>
    <n v="29"/>
    <x v="1"/>
    <x v="86"/>
    <n v="2"/>
    <x v="1"/>
    <n v="1"/>
    <x v="0"/>
    <x v="1"/>
  </r>
  <r>
    <s v="DBK-CMP-100150"/>
    <s v="DBK-CUS-500150"/>
    <x v="0"/>
    <x v="4"/>
    <x v="117"/>
    <n v="31"/>
    <x v="2"/>
    <x v="0"/>
    <m/>
    <x v="0"/>
    <s v=" "/>
    <x v="0"/>
    <x v="1"/>
  </r>
  <r>
    <s v="DBK-CMP-100151"/>
    <s v="DBK-CUS-500151"/>
    <x v="0"/>
    <x v="2"/>
    <x v="118"/>
    <n v="43"/>
    <x v="1"/>
    <x v="87"/>
    <n v="2"/>
    <x v="1"/>
    <n v="1"/>
    <x v="1"/>
    <x v="1"/>
  </r>
  <r>
    <s v="DBK-CMP-100152"/>
    <s v="DBK-CUS-500152"/>
    <x v="2"/>
    <x v="4"/>
    <x v="69"/>
    <n v="52"/>
    <x v="1"/>
    <x v="46"/>
    <n v="1"/>
    <x v="1"/>
    <n v="2"/>
    <x v="6"/>
    <x v="1"/>
  </r>
  <r>
    <s v="DBK-CMP-100153"/>
    <s v="DBK-CUS-500153"/>
    <x v="2"/>
    <x v="4"/>
    <x v="119"/>
    <n v="43"/>
    <x v="1"/>
    <x v="88"/>
    <n v="5"/>
    <x v="1"/>
    <n v="1"/>
    <x v="7"/>
    <x v="1"/>
  </r>
  <r>
    <s v="DBK-CMP-100154"/>
    <s v="DBK-CUS-500154"/>
    <x v="2"/>
    <x v="2"/>
    <x v="83"/>
    <n v="57"/>
    <x v="0"/>
    <x v="0"/>
    <m/>
    <x v="0"/>
    <s v=" "/>
    <x v="6"/>
    <x v="1"/>
  </r>
  <r>
    <s v="DBK-CMP-100155"/>
    <s v="DBK-CUS-500155"/>
    <x v="5"/>
    <x v="2"/>
    <x v="120"/>
    <n v="5"/>
    <x v="0"/>
    <x v="0"/>
    <m/>
    <x v="0"/>
    <s v=" "/>
    <x v="9"/>
    <x v="0"/>
  </r>
  <r>
    <s v="DBK-CMP-100156"/>
    <s v="DBK-CUS-500156"/>
    <x v="2"/>
    <x v="1"/>
    <x v="121"/>
    <n v="26"/>
    <x v="1"/>
    <x v="89"/>
    <n v="2"/>
    <x v="1"/>
    <n v="1"/>
    <x v="0"/>
    <x v="1"/>
  </r>
  <r>
    <s v="DBK-CMP-100157"/>
    <s v="DBK-CUS-500157"/>
    <x v="4"/>
    <x v="0"/>
    <x v="122"/>
    <n v="58"/>
    <x v="1"/>
    <x v="40"/>
    <n v="5"/>
    <x v="1"/>
    <n v="2"/>
    <x v="5"/>
    <x v="1"/>
  </r>
  <r>
    <s v="DBK-CMP-100158"/>
    <s v="DBK-CUS-500158"/>
    <x v="1"/>
    <x v="4"/>
    <x v="55"/>
    <n v="13"/>
    <x v="0"/>
    <x v="0"/>
    <m/>
    <x v="0"/>
    <s v=" "/>
    <x v="4"/>
    <x v="0"/>
  </r>
  <r>
    <s v="DBK-CMP-100159"/>
    <s v="DBK-CUS-500159"/>
    <x v="0"/>
    <x v="3"/>
    <x v="123"/>
    <n v="34"/>
    <x v="1"/>
    <x v="90"/>
    <n v="2"/>
    <x v="1"/>
    <n v="1"/>
    <x v="5"/>
    <x v="1"/>
  </r>
  <r>
    <s v="DBK-CMP-100160"/>
    <s v="DBK-CUS-500160"/>
    <x v="5"/>
    <x v="3"/>
    <x v="118"/>
    <n v="5"/>
    <x v="1"/>
    <x v="91"/>
    <n v="5"/>
    <x v="1"/>
    <n v="0"/>
    <x v="1"/>
    <x v="0"/>
  </r>
  <r>
    <s v="DBK-CMP-100161"/>
    <s v="DBK-CUS-500161"/>
    <x v="7"/>
    <x v="1"/>
    <x v="124"/>
    <n v="2"/>
    <x v="1"/>
    <x v="92"/>
    <n v="5"/>
    <x v="1"/>
    <n v="0"/>
    <x v="0"/>
    <x v="0"/>
  </r>
  <r>
    <s v="DBK-CMP-100162"/>
    <s v="DBK-CUS-500162"/>
    <x v="3"/>
    <x v="3"/>
    <x v="125"/>
    <n v="41"/>
    <x v="1"/>
    <x v="93"/>
    <n v="2"/>
    <x v="1"/>
    <n v="1"/>
    <x v="7"/>
    <x v="1"/>
  </r>
  <r>
    <s v="DBK-CMP-100163"/>
    <s v="DBK-CUS-500163"/>
    <x v="6"/>
    <x v="0"/>
    <x v="126"/>
    <n v="18"/>
    <x v="1"/>
    <x v="94"/>
    <n v="3"/>
    <x v="1"/>
    <n v="0"/>
    <x v="8"/>
    <x v="0"/>
  </r>
  <r>
    <s v="DBK-CMP-100164"/>
    <s v="DBK-CUS-500164"/>
    <x v="7"/>
    <x v="0"/>
    <x v="127"/>
    <n v="16"/>
    <x v="1"/>
    <x v="95"/>
    <n v="3"/>
    <x v="1"/>
    <n v="0"/>
    <x v="10"/>
    <x v="0"/>
  </r>
  <r>
    <s v="DBK-CMP-100165"/>
    <s v="DBK-CUS-500165"/>
    <x v="0"/>
    <x v="3"/>
    <x v="128"/>
    <n v="12"/>
    <x v="1"/>
    <x v="96"/>
    <n v="4"/>
    <x v="1"/>
    <n v="0"/>
    <x v="10"/>
    <x v="0"/>
  </r>
  <r>
    <s v="DBK-CMP-100166"/>
    <s v="DBK-CUS-500166"/>
    <x v="4"/>
    <x v="4"/>
    <x v="59"/>
    <n v="60"/>
    <x v="1"/>
    <x v="14"/>
    <n v="1"/>
    <x v="1"/>
    <n v="2"/>
    <x v="11"/>
    <x v="1"/>
  </r>
  <r>
    <s v="DBK-CMP-100167"/>
    <s v="DBK-CUS-500167"/>
    <x v="7"/>
    <x v="0"/>
    <x v="129"/>
    <n v="19"/>
    <x v="1"/>
    <x v="97"/>
    <n v="3"/>
    <x v="1"/>
    <n v="0"/>
    <x v="3"/>
    <x v="0"/>
  </r>
  <r>
    <s v="DBK-CMP-100168"/>
    <s v="DBK-CUS-500168"/>
    <x v="3"/>
    <x v="3"/>
    <x v="130"/>
    <n v="60"/>
    <x v="1"/>
    <x v="98"/>
    <n v="1"/>
    <x v="1"/>
    <n v="2"/>
    <x v="4"/>
    <x v="1"/>
  </r>
  <r>
    <s v="DBK-CMP-100169"/>
    <s v="DBK-CUS-500169"/>
    <x v="6"/>
    <x v="0"/>
    <x v="131"/>
    <n v="9"/>
    <x v="1"/>
    <x v="99"/>
    <n v="4"/>
    <x v="1"/>
    <n v="0"/>
    <x v="5"/>
    <x v="0"/>
  </r>
  <r>
    <s v="DBK-CMP-100170"/>
    <s v="DBK-CUS-500170"/>
    <x v="7"/>
    <x v="1"/>
    <x v="132"/>
    <n v="21"/>
    <x v="1"/>
    <x v="100"/>
    <n v="3"/>
    <x v="1"/>
    <n v="0"/>
    <x v="6"/>
    <x v="0"/>
  </r>
  <r>
    <s v="DBK-CMP-100171"/>
    <s v="DBK-CUS-500171"/>
    <x v="5"/>
    <x v="0"/>
    <x v="133"/>
    <n v="10"/>
    <x v="1"/>
    <x v="101"/>
    <n v="4"/>
    <x v="1"/>
    <n v="0"/>
    <x v="1"/>
    <x v="0"/>
  </r>
  <r>
    <s v="DBK-CMP-100172"/>
    <s v="DBK-CUS-500172"/>
    <x v="0"/>
    <x v="3"/>
    <x v="57"/>
    <n v="27"/>
    <x v="2"/>
    <x v="0"/>
    <m/>
    <x v="0"/>
    <s v=" "/>
    <x v="4"/>
    <x v="1"/>
  </r>
  <r>
    <s v="DBK-CMP-100173"/>
    <s v="DBK-CUS-500173"/>
    <x v="5"/>
    <x v="4"/>
    <x v="134"/>
    <n v="3"/>
    <x v="1"/>
    <x v="102"/>
    <n v="5"/>
    <x v="1"/>
    <n v="0"/>
    <x v="6"/>
    <x v="0"/>
  </r>
  <r>
    <s v="DBK-CMP-100174"/>
    <s v="DBK-CUS-500174"/>
    <x v="1"/>
    <x v="0"/>
    <x v="135"/>
    <n v="16"/>
    <x v="1"/>
    <x v="103"/>
    <n v="3"/>
    <x v="1"/>
    <n v="0"/>
    <x v="8"/>
    <x v="0"/>
  </r>
  <r>
    <s v="DBK-CMP-100175"/>
    <s v="DBK-CUS-500175"/>
    <x v="4"/>
    <x v="0"/>
    <x v="136"/>
    <n v="21"/>
    <x v="1"/>
    <x v="104"/>
    <n v="3"/>
    <x v="1"/>
    <n v="0"/>
    <x v="8"/>
    <x v="0"/>
  </r>
  <r>
    <s v="DBK-CMP-100176"/>
    <s v="DBK-CUS-500176"/>
    <x v="4"/>
    <x v="2"/>
    <x v="137"/>
    <n v="6"/>
    <x v="0"/>
    <x v="0"/>
    <m/>
    <x v="0"/>
    <s v=" "/>
    <x v="7"/>
    <x v="0"/>
  </r>
  <r>
    <s v="DBK-CMP-100177"/>
    <s v="DBK-CUS-500177"/>
    <x v="3"/>
    <x v="4"/>
    <x v="138"/>
    <n v="51"/>
    <x v="1"/>
    <x v="105"/>
    <n v="1"/>
    <x v="1"/>
    <n v="2"/>
    <x v="3"/>
    <x v="1"/>
  </r>
  <r>
    <s v="DBK-CMP-100178"/>
    <s v="DBK-CUS-500178"/>
    <x v="5"/>
    <x v="3"/>
    <x v="0"/>
    <n v="6"/>
    <x v="1"/>
    <x v="106"/>
    <n v="5"/>
    <x v="1"/>
    <n v="0"/>
    <x v="0"/>
    <x v="0"/>
  </r>
  <r>
    <s v="DBK-CMP-100179"/>
    <s v="DBK-CUS-500179"/>
    <x v="3"/>
    <x v="2"/>
    <x v="23"/>
    <n v="17"/>
    <x v="1"/>
    <x v="14"/>
    <n v="3"/>
    <x v="1"/>
    <n v="0"/>
    <x v="11"/>
    <x v="0"/>
  </r>
  <r>
    <s v="DBK-CMP-100180"/>
    <s v="DBK-CUS-500180"/>
    <x v="0"/>
    <x v="2"/>
    <x v="139"/>
    <n v="39"/>
    <x v="1"/>
    <x v="107"/>
    <n v="2"/>
    <x v="1"/>
    <n v="1"/>
    <x v="8"/>
    <x v="1"/>
  </r>
  <r>
    <s v="DBK-CMP-100181"/>
    <s v="DBK-CUS-500181"/>
    <x v="3"/>
    <x v="2"/>
    <x v="24"/>
    <n v="67"/>
    <x v="1"/>
    <x v="108"/>
    <n v="1"/>
    <x v="1"/>
    <n v="2"/>
    <x v="1"/>
    <x v="1"/>
  </r>
  <r>
    <s v="DBK-CMP-100182"/>
    <s v="DBK-CUS-500182"/>
    <x v="4"/>
    <x v="4"/>
    <x v="67"/>
    <n v="27"/>
    <x v="1"/>
    <x v="109"/>
    <n v="2"/>
    <x v="1"/>
    <n v="1"/>
    <x v="8"/>
    <x v="1"/>
  </r>
  <r>
    <s v="DBK-CMP-100183"/>
    <s v="DBK-CUS-500183"/>
    <x v="4"/>
    <x v="2"/>
    <x v="120"/>
    <n v="39"/>
    <x v="1"/>
    <x v="64"/>
    <n v="2"/>
    <x v="1"/>
    <n v="1"/>
    <x v="9"/>
    <x v="1"/>
  </r>
  <r>
    <s v="DBK-CMP-100184"/>
    <s v="DBK-CUS-500184"/>
    <x v="6"/>
    <x v="0"/>
    <x v="140"/>
    <n v="15"/>
    <x v="1"/>
    <x v="110"/>
    <n v="5"/>
    <x v="1"/>
    <n v="0"/>
    <x v="2"/>
    <x v="0"/>
  </r>
  <r>
    <s v="DBK-CMP-100185"/>
    <s v="DBK-CUS-500185"/>
    <x v="5"/>
    <x v="1"/>
    <x v="56"/>
    <n v="7"/>
    <x v="0"/>
    <x v="0"/>
    <m/>
    <x v="0"/>
    <s v=" "/>
    <x v="7"/>
    <x v="0"/>
  </r>
  <r>
    <s v="DBK-CMP-100186"/>
    <s v="DBK-CUS-500186"/>
    <x v="4"/>
    <x v="3"/>
    <x v="141"/>
    <n v="16"/>
    <x v="0"/>
    <x v="0"/>
    <m/>
    <x v="0"/>
    <s v=" "/>
    <x v="9"/>
    <x v="0"/>
  </r>
  <r>
    <s v="DBK-CMP-100187"/>
    <s v="DBK-CUS-500187"/>
    <x v="5"/>
    <x v="3"/>
    <x v="109"/>
    <n v="4"/>
    <x v="0"/>
    <x v="0"/>
    <m/>
    <x v="0"/>
    <s v=" "/>
    <x v="0"/>
    <x v="0"/>
  </r>
  <r>
    <s v="DBK-CMP-100188"/>
    <s v="DBK-CUS-500188"/>
    <x v="6"/>
    <x v="4"/>
    <x v="25"/>
    <n v="17"/>
    <x v="1"/>
    <x v="16"/>
    <n v="3"/>
    <x v="1"/>
    <n v="0"/>
    <x v="8"/>
    <x v="0"/>
  </r>
  <r>
    <s v="DBK-CMP-100189"/>
    <s v="DBK-CUS-500189"/>
    <x v="0"/>
    <x v="1"/>
    <x v="98"/>
    <n v="36"/>
    <x v="2"/>
    <x v="0"/>
    <m/>
    <x v="0"/>
    <s v=" "/>
    <x v="9"/>
    <x v="1"/>
  </r>
  <r>
    <s v="DBK-CMP-100190"/>
    <s v="DBK-CUS-500190"/>
    <x v="2"/>
    <x v="0"/>
    <x v="96"/>
    <n v="66"/>
    <x v="1"/>
    <x v="68"/>
    <n v="1"/>
    <x v="1"/>
    <n v="2"/>
    <x v="7"/>
    <x v="1"/>
  </r>
  <r>
    <s v="DBK-CMP-100191"/>
    <s v="DBK-CUS-500191"/>
    <x v="5"/>
    <x v="4"/>
    <x v="93"/>
    <n v="8"/>
    <x v="1"/>
    <x v="87"/>
    <n v="4"/>
    <x v="1"/>
    <n v="0"/>
    <x v="1"/>
    <x v="0"/>
  </r>
  <r>
    <s v="DBK-CMP-100192"/>
    <s v="DBK-CUS-500192"/>
    <x v="2"/>
    <x v="1"/>
    <x v="142"/>
    <n v="66"/>
    <x v="1"/>
    <x v="111"/>
    <n v="5"/>
    <x v="1"/>
    <n v="2"/>
    <x v="9"/>
    <x v="1"/>
  </r>
  <r>
    <s v="DBK-CMP-100193"/>
    <s v="DBK-CUS-500193"/>
    <x v="0"/>
    <x v="1"/>
    <x v="143"/>
    <n v="32"/>
    <x v="1"/>
    <x v="112"/>
    <n v="2"/>
    <x v="1"/>
    <n v="1"/>
    <x v="11"/>
    <x v="1"/>
  </r>
  <r>
    <s v="DBK-CMP-100194"/>
    <s v="DBK-CUS-500194"/>
    <x v="3"/>
    <x v="4"/>
    <x v="90"/>
    <n v="23"/>
    <x v="0"/>
    <x v="0"/>
    <m/>
    <x v="0"/>
    <s v=" "/>
    <x v="2"/>
    <x v="0"/>
  </r>
  <r>
    <s v="DBK-CMP-100195"/>
    <s v="DBK-CUS-500195"/>
    <x v="4"/>
    <x v="2"/>
    <x v="55"/>
    <n v="8"/>
    <x v="1"/>
    <x v="39"/>
    <n v="4"/>
    <x v="1"/>
    <n v="0"/>
    <x v="4"/>
    <x v="0"/>
  </r>
  <r>
    <s v="DBK-CMP-100196"/>
    <s v="DBK-CUS-500196"/>
    <x v="3"/>
    <x v="4"/>
    <x v="73"/>
    <n v="9"/>
    <x v="0"/>
    <x v="0"/>
    <m/>
    <x v="0"/>
    <s v=" "/>
    <x v="4"/>
    <x v="0"/>
  </r>
  <r>
    <s v="DBK-CMP-100197"/>
    <s v="DBK-CUS-500197"/>
    <x v="3"/>
    <x v="3"/>
    <x v="144"/>
    <n v="63"/>
    <x v="0"/>
    <x v="0"/>
    <m/>
    <x v="0"/>
    <s v=" "/>
    <x v="2"/>
    <x v="1"/>
  </r>
  <r>
    <s v="DBK-CMP-100198"/>
    <s v="DBK-CUS-500198"/>
    <x v="4"/>
    <x v="3"/>
    <x v="119"/>
    <n v="42"/>
    <x v="1"/>
    <x v="88"/>
    <n v="2"/>
    <x v="1"/>
    <n v="1"/>
    <x v="7"/>
    <x v="1"/>
  </r>
  <r>
    <s v="DBK-CMP-100199"/>
    <s v="DBK-CUS-500199"/>
    <x v="2"/>
    <x v="2"/>
    <x v="120"/>
    <n v="77"/>
    <x v="1"/>
    <x v="113"/>
    <n v="5"/>
    <x v="1"/>
    <n v="3"/>
    <x v="9"/>
    <x v="2"/>
  </r>
  <r>
    <s v="DBK-CMP-100200"/>
    <s v="DBK-CUS-500200"/>
    <x v="3"/>
    <x v="0"/>
    <x v="145"/>
    <n v="22"/>
    <x v="1"/>
    <x v="114"/>
    <n v="5"/>
    <x v="1"/>
    <n v="0"/>
    <x v="11"/>
    <x v="0"/>
  </r>
  <r>
    <s v="DBK-CMP-100201"/>
    <s v="DBK-CUS-500201"/>
    <x v="4"/>
    <x v="1"/>
    <x v="146"/>
    <n v="38"/>
    <x v="1"/>
    <x v="115"/>
    <n v="2"/>
    <x v="1"/>
    <n v="1"/>
    <x v="9"/>
    <x v="1"/>
  </r>
  <r>
    <s v="DBK-CMP-100202"/>
    <s v="DBK-CUS-500202"/>
    <x v="4"/>
    <x v="3"/>
    <x v="129"/>
    <n v="33"/>
    <x v="2"/>
    <x v="0"/>
    <m/>
    <x v="0"/>
    <s v=" "/>
    <x v="3"/>
    <x v="1"/>
  </r>
  <r>
    <s v="DBK-CMP-100203"/>
    <s v="DBK-CUS-500203"/>
    <x v="5"/>
    <x v="1"/>
    <x v="147"/>
    <n v="7"/>
    <x v="0"/>
    <x v="0"/>
    <m/>
    <x v="0"/>
    <s v=" "/>
    <x v="3"/>
    <x v="0"/>
  </r>
  <r>
    <s v="DBK-CMP-100204"/>
    <s v="DBK-CUS-500204"/>
    <x v="0"/>
    <x v="4"/>
    <x v="148"/>
    <n v="26"/>
    <x v="1"/>
    <x v="105"/>
    <n v="2"/>
    <x v="1"/>
    <n v="1"/>
    <x v="3"/>
    <x v="1"/>
  </r>
  <r>
    <s v="DBK-CMP-100205"/>
    <s v="DBK-CUS-500205"/>
    <x v="1"/>
    <x v="1"/>
    <x v="39"/>
    <n v="24"/>
    <x v="1"/>
    <x v="116"/>
    <n v="3"/>
    <x v="1"/>
    <n v="1"/>
    <x v="2"/>
    <x v="0"/>
  </r>
  <r>
    <s v="DBK-CMP-100206"/>
    <s v="DBK-CUS-500206"/>
    <x v="1"/>
    <x v="4"/>
    <x v="50"/>
    <n v="33"/>
    <x v="0"/>
    <x v="0"/>
    <m/>
    <x v="0"/>
    <s v=" "/>
    <x v="9"/>
    <x v="1"/>
  </r>
  <r>
    <s v="DBK-CMP-100207"/>
    <s v="DBK-CUS-500207"/>
    <x v="1"/>
    <x v="2"/>
    <x v="129"/>
    <n v="8"/>
    <x v="1"/>
    <x v="97"/>
    <n v="4"/>
    <x v="1"/>
    <n v="0"/>
    <x v="3"/>
    <x v="0"/>
  </r>
  <r>
    <s v="DBK-CMP-100208"/>
    <s v="DBK-CUS-500208"/>
    <x v="7"/>
    <x v="2"/>
    <x v="149"/>
    <n v="22"/>
    <x v="0"/>
    <x v="0"/>
    <m/>
    <x v="0"/>
    <s v=" "/>
    <x v="3"/>
    <x v="0"/>
  </r>
  <r>
    <s v="DBK-CMP-100209"/>
    <s v="DBK-CUS-500209"/>
    <x v="4"/>
    <x v="3"/>
    <x v="18"/>
    <n v="34"/>
    <x v="0"/>
    <x v="0"/>
    <m/>
    <x v="0"/>
    <s v=" "/>
    <x v="3"/>
    <x v="1"/>
  </r>
  <r>
    <s v="DBK-CMP-100210"/>
    <s v="DBK-CUS-500210"/>
    <x v="5"/>
    <x v="1"/>
    <x v="150"/>
    <n v="11"/>
    <x v="2"/>
    <x v="0"/>
    <m/>
    <x v="0"/>
    <s v=" "/>
    <x v="10"/>
    <x v="0"/>
  </r>
  <r>
    <s v="DBK-CMP-100211"/>
    <s v="DBK-CUS-500211"/>
    <x v="6"/>
    <x v="2"/>
    <x v="151"/>
    <n v="21"/>
    <x v="1"/>
    <x v="117"/>
    <n v="3"/>
    <x v="1"/>
    <n v="0"/>
    <x v="10"/>
    <x v="0"/>
  </r>
  <r>
    <s v="DBK-CMP-100212"/>
    <s v="DBK-CUS-500212"/>
    <x v="7"/>
    <x v="3"/>
    <x v="152"/>
    <n v="12"/>
    <x v="0"/>
    <x v="0"/>
    <m/>
    <x v="0"/>
    <s v=" "/>
    <x v="1"/>
    <x v="0"/>
  </r>
  <r>
    <s v="DBK-CMP-100213"/>
    <s v="DBK-CUS-500213"/>
    <x v="1"/>
    <x v="0"/>
    <x v="7"/>
    <n v="12"/>
    <x v="1"/>
    <x v="118"/>
    <n v="4"/>
    <x v="1"/>
    <n v="0"/>
    <x v="6"/>
    <x v="0"/>
  </r>
  <r>
    <s v="DBK-CMP-100214"/>
    <s v="DBK-CUS-500214"/>
    <x v="6"/>
    <x v="4"/>
    <x v="153"/>
    <n v="18"/>
    <x v="1"/>
    <x v="116"/>
    <n v="5"/>
    <x v="1"/>
    <n v="0"/>
    <x v="2"/>
    <x v="0"/>
  </r>
  <r>
    <s v="DBK-CMP-100215"/>
    <s v="DBK-CUS-500215"/>
    <x v="5"/>
    <x v="4"/>
    <x v="154"/>
    <n v="7"/>
    <x v="1"/>
    <x v="15"/>
    <n v="4"/>
    <x v="1"/>
    <n v="0"/>
    <x v="1"/>
    <x v="0"/>
  </r>
  <r>
    <s v="DBK-CMP-100216"/>
    <s v="DBK-CUS-500216"/>
    <x v="6"/>
    <x v="2"/>
    <x v="45"/>
    <n v="12"/>
    <x v="1"/>
    <x v="119"/>
    <n v="4"/>
    <x v="1"/>
    <n v="0"/>
    <x v="4"/>
    <x v="0"/>
  </r>
  <r>
    <s v="DBK-CMP-100217"/>
    <s v="DBK-CUS-500217"/>
    <x v="3"/>
    <x v="2"/>
    <x v="155"/>
    <n v="23"/>
    <x v="1"/>
    <x v="120"/>
    <n v="3"/>
    <x v="1"/>
    <n v="0"/>
    <x v="4"/>
    <x v="0"/>
  </r>
  <r>
    <s v="DBK-CMP-100218"/>
    <s v="DBK-CUS-500218"/>
    <x v="4"/>
    <x v="2"/>
    <x v="156"/>
    <n v="32"/>
    <x v="1"/>
    <x v="121"/>
    <n v="2"/>
    <x v="1"/>
    <n v="1"/>
    <x v="7"/>
    <x v="1"/>
  </r>
  <r>
    <s v="DBK-CMP-100219"/>
    <s v="DBK-CUS-500219"/>
    <x v="4"/>
    <x v="4"/>
    <x v="71"/>
    <n v="21"/>
    <x v="0"/>
    <x v="0"/>
    <m/>
    <x v="0"/>
    <s v=" "/>
    <x v="0"/>
    <x v="0"/>
  </r>
  <r>
    <s v="DBK-CMP-100220"/>
    <s v="DBK-CUS-500220"/>
    <x v="3"/>
    <x v="3"/>
    <x v="157"/>
    <n v="30"/>
    <x v="0"/>
    <x v="0"/>
    <m/>
    <x v="0"/>
    <s v=" "/>
    <x v="6"/>
    <x v="1"/>
  </r>
  <r>
    <s v="DBK-CMP-100221"/>
    <s v="DBK-CUS-500221"/>
    <x v="5"/>
    <x v="1"/>
    <x v="158"/>
    <n v="7"/>
    <x v="1"/>
    <x v="122"/>
    <n v="4"/>
    <x v="1"/>
    <n v="0"/>
    <x v="7"/>
    <x v="0"/>
  </r>
  <r>
    <s v="DBK-CMP-100222"/>
    <s v="DBK-CUS-500222"/>
    <x v="0"/>
    <x v="0"/>
    <x v="6"/>
    <n v="27"/>
    <x v="0"/>
    <x v="0"/>
    <m/>
    <x v="0"/>
    <s v=" "/>
    <x v="5"/>
    <x v="1"/>
  </r>
  <r>
    <s v="DBK-CMP-100223"/>
    <s v="DBK-CUS-500223"/>
    <x v="0"/>
    <x v="2"/>
    <x v="159"/>
    <n v="24"/>
    <x v="0"/>
    <x v="0"/>
    <m/>
    <x v="0"/>
    <s v=" "/>
    <x v="9"/>
    <x v="0"/>
  </r>
  <r>
    <s v="DBK-CMP-100224"/>
    <s v="DBK-CUS-500224"/>
    <x v="0"/>
    <x v="2"/>
    <x v="142"/>
    <n v="23"/>
    <x v="1"/>
    <x v="123"/>
    <n v="3"/>
    <x v="1"/>
    <n v="0"/>
    <x v="9"/>
    <x v="0"/>
  </r>
  <r>
    <s v="DBK-CMP-100225"/>
    <s v="DBK-CUS-500225"/>
    <x v="3"/>
    <x v="3"/>
    <x v="160"/>
    <n v="67"/>
    <x v="1"/>
    <x v="53"/>
    <n v="1"/>
    <x v="1"/>
    <n v="2"/>
    <x v="3"/>
    <x v="1"/>
  </r>
  <r>
    <s v="DBK-CMP-100226"/>
    <s v="DBK-CUS-500226"/>
    <x v="7"/>
    <x v="1"/>
    <x v="143"/>
    <n v="3"/>
    <x v="0"/>
    <x v="0"/>
    <m/>
    <x v="0"/>
    <s v=" "/>
    <x v="11"/>
    <x v="0"/>
  </r>
  <r>
    <s v="DBK-CMP-100227"/>
    <s v="DBK-CUS-500227"/>
    <x v="5"/>
    <x v="4"/>
    <x v="161"/>
    <n v="6"/>
    <x v="0"/>
    <x v="0"/>
    <m/>
    <x v="0"/>
    <s v=" "/>
    <x v="11"/>
    <x v="0"/>
  </r>
  <r>
    <s v="DBK-CMP-100228"/>
    <s v="DBK-CUS-500228"/>
    <x v="3"/>
    <x v="4"/>
    <x v="100"/>
    <n v="20"/>
    <x v="0"/>
    <x v="0"/>
    <m/>
    <x v="0"/>
    <s v=" "/>
    <x v="0"/>
    <x v="0"/>
  </r>
  <r>
    <s v="DBK-CMP-100229"/>
    <s v="DBK-CUS-500229"/>
    <x v="3"/>
    <x v="1"/>
    <x v="162"/>
    <n v="31"/>
    <x v="1"/>
    <x v="124"/>
    <n v="2"/>
    <x v="1"/>
    <n v="1"/>
    <x v="6"/>
    <x v="1"/>
  </r>
  <r>
    <s v="DBK-CMP-100230"/>
    <s v="DBK-CUS-500230"/>
    <x v="2"/>
    <x v="4"/>
    <x v="163"/>
    <n v="48"/>
    <x v="2"/>
    <x v="0"/>
    <m/>
    <x v="0"/>
    <s v=" "/>
    <x v="8"/>
    <x v="1"/>
  </r>
  <r>
    <s v="DBK-CMP-100231"/>
    <s v="DBK-CUS-500231"/>
    <x v="0"/>
    <x v="4"/>
    <x v="44"/>
    <n v="10"/>
    <x v="2"/>
    <x v="0"/>
    <m/>
    <x v="0"/>
    <s v=" "/>
    <x v="10"/>
    <x v="0"/>
  </r>
  <r>
    <s v="DBK-CMP-100232"/>
    <s v="DBK-CUS-500232"/>
    <x v="2"/>
    <x v="0"/>
    <x v="164"/>
    <n v="95"/>
    <x v="1"/>
    <x v="125"/>
    <n v="1"/>
    <x v="1"/>
    <n v="3"/>
    <x v="10"/>
    <x v="2"/>
  </r>
  <r>
    <s v="DBK-CMP-100233"/>
    <s v="DBK-CUS-500233"/>
    <x v="0"/>
    <x v="2"/>
    <x v="30"/>
    <n v="48"/>
    <x v="1"/>
    <x v="64"/>
    <n v="5"/>
    <x v="1"/>
    <n v="2"/>
    <x v="9"/>
    <x v="1"/>
  </r>
  <r>
    <s v="DBK-CMP-100234"/>
    <s v="DBK-CUS-500234"/>
    <x v="0"/>
    <x v="0"/>
    <x v="165"/>
    <n v="43"/>
    <x v="1"/>
    <x v="92"/>
    <n v="5"/>
    <x v="1"/>
    <n v="1"/>
    <x v="0"/>
    <x v="1"/>
  </r>
  <r>
    <s v="DBK-CMP-100235"/>
    <s v="DBK-CUS-500235"/>
    <x v="3"/>
    <x v="4"/>
    <x v="138"/>
    <n v="28"/>
    <x v="0"/>
    <x v="0"/>
    <m/>
    <x v="0"/>
    <s v=" "/>
    <x v="3"/>
    <x v="1"/>
  </r>
  <r>
    <s v="DBK-CMP-100236"/>
    <s v="DBK-CUS-500236"/>
    <x v="2"/>
    <x v="3"/>
    <x v="166"/>
    <n v="79"/>
    <x v="1"/>
    <x v="118"/>
    <n v="1"/>
    <x v="1"/>
    <n v="3"/>
    <x v="6"/>
    <x v="2"/>
  </r>
  <r>
    <s v="DBK-CMP-100237"/>
    <s v="DBK-CUS-500237"/>
    <x v="5"/>
    <x v="2"/>
    <x v="167"/>
    <n v="2"/>
    <x v="2"/>
    <x v="0"/>
    <m/>
    <x v="0"/>
    <s v=" "/>
    <x v="8"/>
    <x v="0"/>
  </r>
  <r>
    <s v="DBK-CMP-100238"/>
    <s v="DBK-CUS-500238"/>
    <x v="0"/>
    <x v="1"/>
    <x v="168"/>
    <n v="34"/>
    <x v="1"/>
    <x v="126"/>
    <n v="2"/>
    <x v="1"/>
    <n v="1"/>
    <x v="9"/>
    <x v="1"/>
  </r>
  <r>
    <s v="DBK-CMP-100239"/>
    <s v="DBK-CUS-500239"/>
    <x v="3"/>
    <x v="3"/>
    <x v="169"/>
    <n v="30"/>
    <x v="1"/>
    <x v="123"/>
    <n v="2"/>
    <x v="1"/>
    <n v="1"/>
    <x v="9"/>
    <x v="1"/>
  </r>
  <r>
    <s v="DBK-CMP-100240"/>
    <s v="DBK-CUS-500240"/>
    <x v="3"/>
    <x v="1"/>
    <x v="170"/>
    <n v="62"/>
    <x v="2"/>
    <x v="0"/>
    <m/>
    <x v="0"/>
    <s v=" "/>
    <x v="7"/>
    <x v="1"/>
  </r>
  <r>
    <s v="DBK-CMP-100241"/>
    <s v="DBK-CUS-500241"/>
    <x v="1"/>
    <x v="2"/>
    <x v="171"/>
    <n v="20"/>
    <x v="1"/>
    <x v="127"/>
    <n v="3"/>
    <x v="1"/>
    <n v="0"/>
    <x v="3"/>
    <x v="0"/>
  </r>
  <r>
    <s v="DBK-CMP-100242"/>
    <s v="DBK-CUS-500242"/>
    <x v="0"/>
    <x v="2"/>
    <x v="129"/>
    <n v="27"/>
    <x v="2"/>
    <x v="0"/>
    <m/>
    <x v="0"/>
    <s v=" "/>
    <x v="3"/>
    <x v="1"/>
  </r>
  <r>
    <s v="DBK-CMP-100243"/>
    <s v="DBK-CUS-500243"/>
    <x v="6"/>
    <x v="4"/>
    <x v="133"/>
    <n v="7"/>
    <x v="1"/>
    <x v="101"/>
    <n v="4"/>
    <x v="1"/>
    <n v="0"/>
    <x v="1"/>
    <x v="0"/>
  </r>
  <r>
    <s v="DBK-CMP-100244"/>
    <s v="DBK-CUS-500244"/>
    <x v="1"/>
    <x v="0"/>
    <x v="19"/>
    <n v="10"/>
    <x v="1"/>
    <x v="12"/>
    <n v="4"/>
    <x v="1"/>
    <n v="0"/>
    <x v="5"/>
    <x v="0"/>
  </r>
  <r>
    <s v="DBK-CMP-100245"/>
    <s v="DBK-CUS-500245"/>
    <x v="5"/>
    <x v="0"/>
    <x v="172"/>
    <n v="6"/>
    <x v="1"/>
    <x v="46"/>
    <n v="5"/>
    <x v="1"/>
    <n v="0"/>
    <x v="6"/>
    <x v="0"/>
  </r>
  <r>
    <s v="DBK-CMP-100246"/>
    <s v="DBK-CUS-500246"/>
    <x v="3"/>
    <x v="0"/>
    <x v="173"/>
    <n v="17"/>
    <x v="1"/>
    <x v="128"/>
    <n v="3"/>
    <x v="1"/>
    <n v="0"/>
    <x v="0"/>
    <x v="0"/>
  </r>
  <r>
    <s v="DBK-CMP-100247"/>
    <s v="DBK-CUS-500247"/>
    <x v="2"/>
    <x v="2"/>
    <x v="174"/>
    <n v="93"/>
    <x v="1"/>
    <x v="106"/>
    <n v="1"/>
    <x v="1"/>
    <n v="3"/>
    <x v="0"/>
    <x v="2"/>
  </r>
  <r>
    <s v="DBK-CMP-100248"/>
    <s v="DBK-CUS-500248"/>
    <x v="4"/>
    <x v="1"/>
    <x v="141"/>
    <n v="71"/>
    <x v="1"/>
    <x v="129"/>
    <n v="5"/>
    <x v="1"/>
    <n v="2"/>
    <x v="9"/>
    <x v="1"/>
  </r>
  <r>
    <s v="DBK-CMP-100249"/>
    <s v="DBK-CUS-500249"/>
    <x v="6"/>
    <x v="2"/>
    <x v="6"/>
    <n v="21"/>
    <x v="1"/>
    <x v="130"/>
    <n v="5"/>
    <x v="1"/>
    <n v="0"/>
    <x v="5"/>
    <x v="0"/>
  </r>
  <r>
    <s v="DBK-CMP-100250"/>
    <s v="DBK-CUS-500250"/>
    <x v="6"/>
    <x v="1"/>
    <x v="175"/>
    <n v="3"/>
    <x v="1"/>
    <x v="131"/>
    <n v="5"/>
    <x v="1"/>
    <n v="0"/>
    <x v="10"/>
    <x v="0"/>
  </r>
  <r>
    <s v="DBK-CMP-100251"/>
    <s v="DBK-CUS-500251"/>
    <x v="2"/>
    <x v="3"/>
    <x v="173"/>
    <n v="56"/>
    <x v="1"/>
    <x v="56"/>
    <n v="1"/>
    <x v="1"/>
    <n v="2"/>
    <x v="0"/>
    <x v="1"/>
  </r>
  <r>
    <s v="DBK-CMP-100252"/>
    <s v="DBK-CUS-500252"/>
    <x v="0"/>
    <x v="2"/>
    <x v="94"/>
    <n v="26"/>
    <x v="1"/>
    <x v="122"/>
    <n v="2"/>
    <x v="1"/>
    <n v="1"/>
    <x v="7"/>
    <x v="1"/>
  </r>
  <r>
    <s v="DBK-CMP-100253"/>
    <s v="DBK-CUS-500253"/>
    <x v="1"/>
    <x v="4"/>
    <x v="59"/>
    <n v="8"/>
    <x v="0"/>
    <x v="0"/>
    <m/>
    <x v="0"/>
    <s v=" "/>
    <x v="11"/>
    <x v="0"/>
  </r>
  <r>
    <s v="DBK-CMP-100254"/>
    <s v="DBK-CUS-500254"/>
    <x v="0"/>
    <x v="0"/>
    <x v="176"/>
    <n v="10"/>
    <x v="2"/>
    <x v="0"/>
    <m/>
    <x v="0"/>
    <s v=" "/>
    <x v="9"/>
    <x v="0"/>
  </r>
  <r>
    <s v="DBK-CMP-100255"/>
    <s v="DBK-CUS-500255"/>
    <x v="0"/>
    <x v="2"/>
    <x v="177"/>
    <n v="16"/>
    <x v="1"/>
    <x v="132"/>
    <n v="3"/>
    <x v="1"/>
    <n v="0"/>
    <x v="3"/>
    <x v="0"/>
  </r>
  <r>
    <s v="DBK-CMP-100256"/>
    <s v="DBK-CUS-500256"/>
    <x v="6"/>
    <x v="1"/>
    <x v="178"/>
    <n v="15"/>
    <x v="1"/>
    <x v="133"/>
    <n v="3"/>
    <x v="1"/>
    <n v="0"/>
    <x v="10"/>
    <x v="0"/>
  </r>
  <r>
    <s v="DBK-CMP-100257"/>
    <s v="DBK-CUS-500257"/>
    <x v="1"/>
    <x v="3"/>
    <x v="56"/>
    <n v="34"/>
    <x v="1"/>
    <x v="134"/>
    <n v="2"/>
    <x v="1"/>
    <n v="1"/>
    <x v="7"/>
    <x v="1"/>
  </r>
  <r>
    <s v="DBK-CMP-100258"/>
    <s v="DBK-CUS-500258"/>
    <x v="3"/>
    <x v="1"/>
    <x v="179"/>
    <n v="30"/>
    <x v="2"/>
    <x v="0"/>
    <m/>
    <x v="0"/>
    <s v=" "/>
    <x v="7"/>
    <x v="1"/>
  </r>
  <r>
    <s v="DBK-CMP-100259"/>
    <s v="DBK-CUS-500259"/>
    <x v="1"/>
    <x v="2"/>
    <x v="180"/>
    <n v="10"/>
    <x v="1"/>
    <x v="113"/>
    <n v="4"/>
    <x v="1"/>
    <n v="0"/>
    <x v="9"/>
    <x v="0"/>
  </r>
  <r>
    <s v="DBK-CMP-100260"/>
    <s v="DBK-CUS-500260"/>
    <x v="3"/>
    <x v="1"/>
    <x v="181"/>
    <n v="20"/>
    <x v="1"/>
    <x v="135"/>
    <n v="3"/>
    <x v="1"/>
    <n v="0"/>
    <x v="1"/>
    <x v="0"/>
  </r>
  <r>
    <s v="DBK-CMP-100261"/>
    <s v="DBK-CUS-500261"/>
    <x v="1"/>
    <x v="2"/>
    <x v="182"/>
    <n v="27"/>
    <x v="1"/>
    <x v="136"/>
    <n v="2"/>
    <x v="1"/>
    <n v="1"/>
    <x v="0"/>
    <x v="1"/>
  </r>
  <r>
    <s v="DBK-CMP-100262"/>
    <s v="DBK-CUS-500262"/>
    <x v="1"/>
    <x v="4"/>
    <x v="183"/>
    <n v="12"/>
    <x v="1"/>
    <x v="137"/>
    <n v="4"/>
    <x v="1"/>
    <n v="0"/>
    <x v="8"/>
    <x v="0"/>
  </r>
  <r>
    <s v="DBK-CMP-100263"/>
    <s v="DBK-CUS-500263"/>
    <x v="4"/>
    <x v="0"/>
    <x v="131"/>
    <n v="51"/>
    <x v="0"/>
    <x v="0"/>
    <m/>
    <x v="0"/>
    <s v=" "/>
    <x v="5"/>
    <x v="1"/>
  </r>
  <r>
    <s v="DBK-CMP-100264"/>
    <s v="DBK-CUS-500264"/>
    <x v="1"/>
    <x v="3"/>
    <x v="56"/>
    <n v="5"/>
    <x v="0"/>
    <x v="0"/>
    <m/>
    <x v="0"/>
    <s v=" "/>
    <x v="7"/>
    <x v="0"/>
  </r>
  <r>
    <s v="DBK-CMP-100265"/>
    <s v="DBK-CUS-500265"/>
    <x v="5"/>
    <x v="3"/>
    <x v="184"/>
    <n v="10"/>
    <x v="0"/>
    <x v="0"/>
    <m/>
    <x v="0"/>
    <s v=" "/>
    <x v="11"/>
    <x v="0"/>
  </r>
  <r>
    <s v="DBK-CMP-100266"/>
    <s v="DBK-CUS-500266"/>
    <x v="6"/>
    <x v="1"/>
    <x v="156"/>
    <n v="18"/>
    <x v="1"/>
    <x v="138"/>
    <n v="3"/>
    <x v="1"/>
    <n v="0"/>
    <x v="7"/>
    <x v="0"/>
  </r>
  <r>
    <s v="DBK-CMP-100267"/>
    <s v="DBK-CUS-500267"/>
    <x v="5"/>
    <x v="1"/>
    <x v="185"/>
    <n v="12"/>
    <x v="2"/>
    <x v="0"/>
    <m/>
    <x v="0"/>
    <s v=" "/>
    <x v="2"/>
    <x v="0"/>
  </r>
  <r>
    <s v="DBK-CMP-100268"/>
    <s v="DBK-CUS-500268"/>
    <x v="2"/>
    <x v="4"/>
    <x v="186"/>
    <n v="58"/>
    <x v="0"/>
    <x v="0"/>
    <m/>
    <x v="0"/>
    <s v=" "/>
    <x v="6"/>
    <x v="1"/>
  </r>
  <r>
    <s v="DBK-CMP-100269"/>
    <s v="DBK-CUS-500269"/>
    <x v="6"/>
    <x v="3"/>
    <x v="187"/>
    <n v="10"/>
    <x v="1"/>
    <x v="139"/>
    <n v="4"/>
    <x v="1"/>
    <n v="0"/>
    <x v="8"/>
    <x v="0"/>
  </r>
  <r>
    <s v="DBK-CMP-100270"/>
    <s v="DBK-CUS-500270"/>
    <x v="1"/>
    <x v="3"/>
    <x v="85"/>
    <n v="12"/>
    <x v="1"/>
    <x v="56"/>
    <n v="4"/>
    <x v="1"/>
    <n v="0"/>
    <x v="0"/>
    <x v="0"/>
  </r>
  <r>
    <s v="DBK-CMP-100271"/>
    <s v="DBK-CUS-500271"/>
    <x v="6"/>
    <x v="1"/>
    <x v="56"/>
    <n v="21"/>
    <x v="1"/>
    <x v="35"/>
    <n v="5"/>
    <x v="1"/>
    <n v="0"/>
    <x v="7"/>
    <x v="0"/>
  </r>
  <r>
    <s v="DBK-CMP-100272"/>
    <s v="DBK-CUS-500272"/>
    <x v="7"/>
    <x v="4"/>
    <x v="57"/>
    <n v="13"/>
    <x v="1"/>
    <x v="85"/>
    <n v="3"/>
    <x v="1"/>
    <n v="0"/>
    <x v="4"/>
    <x v="0"/>
  </r>
  <r>
    <s v="DBK-CMP-100273"/>
    <s v="DBK-CUS-500273"/>
    <x v="7"/>
    <x v="4"/>
    <x v="187"/>
    <n v="15"/>
    <x v="1"/>
    <x v="139"/>
    <n v="3"/>
    <x v="1"/>
    <n v="0"/>
    <x v="8"/>
    <x v="0"/>
  </r>
  <r>
    <s v="DBK-CMP-100274"/>
    <s v="DBK-CUS-500274"/>
    <x v="0"/>
    <x v="0"/>
    <x v="188"/>
    <n v="9"/>
    <x v="1"/>
    <x v="65"/>
    <n v="4"/>
    <x v="1"/>
    <n v="0"/>
    <x v="2"/>
    <x v="0"/>
  </r>
  <r>
    <s v="DBK-CMP-100275"/>
    <s v="DBK-CUS-500275"/>
    <x v="4"/>
    <x v="3"/>
    <x v="110"/>
    <n v="26"/>
    <x v="1"/>
    <x v="79"/>
    <n v="2"/>
    <x v="1"/>
    <n v="1"/>
    <x v="1"/>
    <x v="1"/>
  </r>
  <r>
    <s v="DBK-CMP-100276"/>
    <s v="DBK-CUS-500276"/>
    <x v="7"/>
    <x v="0"/>
    <x v="189"/>
    <n v="14"/>
    <x v="2"/>
    <x v="0"/>
    <m/>
    <x v="0"/>
    <s v=" "/>
    <x v="2"/>
    <x v="0"/>
  </r>
  <r>
    <s v="DBK-CMP-100277"/>
    <s v="DBK-CUS-500277"/>
    <x v="1"/>
    <x v="2"/>
    <x v="190"/>
    <n v="13"/>
    <x v="0"/>
    <x v="0"/>
    <m/>
    <x v="0"/>
    <s v=" "/>
    <x v="7"/>
    <x v="0"/>
  </r>
  <r>
    <s v="DBK-CMP-100278"/>
    <s v="DBK-CUS-500278"/>
    <x v="4"/>
    <x v="2"/>
    <x v="191"/>
    <n v="20"/>
    <x v="1"/>
    <x v="140"/>
    <n v="3"/>
    <x v="1"/>
    <n v="0"/>
    <x v="2"/>
    <x v="0"/>
  </r>
  <r>
    <s v="DBK-CMP-100279"/>
    <s v="DBK-CUS-500279"/>
    <x v="0"/>
    <x v="2"/>
    <x v="192"/>
    <n v="44"/>
    <x v="0"/>
    <x v="0"/>
    <m/>
    <x v="0"/>
    <s v=" "/>
    <x v="10"/>
    <x v="1"/>
  </r>
  <r>
    <s v="DBK-CMP-100280"/>
    <s v="DBK-CUS-500280"/>
    <x v="5"/>
    <x v="0"/>
    <x v="172"/>
    <n v="11"/>
    <x v="1"/>
    <x v="46"/>
    <n v="4"/>
    <x v="1"/>
    <n v="0"/>
    <x v="6"/>
    <x v="0"/>
  </r>
  <r>
    <s v="DBK-CMP-100281"/>
    <s v="DBK-CUS-500281"/>
    <x v="7"/>
    <x v="0"/>
    <x v="193"/>
    <n v="15"/>
    <x v="1"/>
    <x v="141"/>
    <n v="3"/>
    <x v="1"/>
    <n v="0"/>
    <x v="10"/>
    <x v="0"/>
  </r>
  <r>
    <s v="DBK-CMP-100282"/>
    <s v="DBK-CUS-500282"/>
    <x v="2"/>
    <x v="4"/>
    <x v="82"/>
    <n v="82"/>
    <x v="1"/>
    <x v="2"/>
    <n v="1"/>
    <x v="1"/>
    <n v="3"/>
    <x v="1"/>
    <x v="2"/>
  </r>
  <r>
    <s v="DBK-CMP-100283"/>
    <s v="DBK-CUS-500283"/>
    <x v="4"/>
    <x v="0"/>
    <x v="194"/>
    <n v="67"/>
    <x v="1"/>
    <x v="142"/>
    <n v="1"/>
    <x v="1"/>
    <n v="2"/>
    <x v="2"/>
    <x v="1"/>
  </r>
  <r>
    <s v="DBK-CMP-100284"/>
    <s v="DBK-CUS-500284"/>
    <x v="1"/>
    <x v="3"/>
    <x v="27"/>
    <n v="30"/>
    <x v="1"/>
    <x v="139"/>
    <n v="2"/>
    <x v="1"/>
    <n v="1"/>
    <x v="8"/>
    <x v="1"/>
  </r>
  <r>
    <s v="DBK-CMP-100285"/>
    <s v="DBK-CUS-500285"/>
    <x v="5"/>
    <x v="2"/>
    <x v="21"/>
    <n v="1"/>
    <x v="1"/>
    <x v="125"/>
    <n v="5"/>
    <x v="1"/>
    <n v="0"/>
    <x v="10"/>
    <x v="0"/>
  </r>
  <r>
    <s v="DBK-CMP-100286"/>
    <s v="DBK-CUS-500286"/>
    <x v="7"/>
    <x v="4"/>
    <x v="195"/>
    <n v="23"/>
    <x v="0"/>
    <x v="0"/>
    <m/>
    <x v="0"/>
    <s v=" "/>
    <x v="3"/>
    <x v="0"/>
  </r>
  <r>
    <s v="DBK-CMP-100287"/>
    <s v="DBK-CUS-500287"/>
    <x v="2"/>
    <x v="3"/>
    <x v="196"/>
    <n v="52"/>
    <x v="1"/>
    <x v="143"/>
    <n v="1"/>
    <x v="1"/>
    <n v="2"/>
    <x v="9"/>
    <x v="1"/>
  </r>
  <r>
    <s v="DBK-CMP-100288"/>
    <s v="DBK-CUS-500288"/>
    <x v="2"/>
    <x v="1"/>
    <x v="197"/>
    <n v="65"/>
    <x v="1"/>
    <x v="144"/>
    <n v="1"/>
    <x v="1"/>
    <n v="2"/>
    <x v="5"/>
    <x v="1"/>
  </r>
  <r>
    <s v="DBK-CMP-100289"/>
    <s v="DBK-CUS-500289"/>
    <x v="3"/>
    <x v="1"/>
    <x v="194"/>
    <n v="48"/>
    <x v="1"/>
    <x v="142"/>
    <n v="2"/>
    <x v="1"/>
    <n v="2"/>
    <x v="2"/>
    <x v="1"/>
  </r>
  <r>
    <s v="DBK-CMP-100290"/>
    <s v="DBK-CUS-500290"/>
    <x v="2"/>
    <x v="0"/>
    <x v="141"/>
    <n v="69"/>
    <x v="1"/>
    <x v="129"/>
    <n v="1"/>
    <x v="1"/>
    <n v="2"/>
    <x v="9"/>
    <x v="1"/>
  </r>
  <r>
    <s v="DBK-CMP-100291"/>
    <s v="DBK-CUS-500291"/>
    <x v="2"/>
    <x v="0"/>
    <x v="130"/>
    <n v="37"/>
    <x v="0"/>
    <x v="0"/>
    <m/>
    <x v="0"/>
    <s v=" "/>
    <x v="4"/>
    <x v="1"/>
  </r>
  <r>
    <s v="DBK-CMP-100292"/>
    <s v="DBK-CUS-500292"/>
    <x v="5"/>
    <x v="1"/>
    <x v="19"/>
    <n v="10"/>
    <x v="1"/>
    <x v="12"/>
    <n v="4"/>
    <x v="1"/>
    <n v="0"/>
    <x v="5"/>
    <x v="0"/>
  </r>
  <r>
    <s v="DBK-CMP-100293"/>
    <s v="DBK-CUS-500293"/>
    <x v="0"/>
    <x v="0"/>
    <x v="92"/>
    <n v="11"/>
    <x v="1"/>
    <x v="145"/>
    <n v="4"/>
    <x v="1"/>
    <n v="0"/>
    <x v="2"/>
    <x v="0"/>
  </r>
  <r>
    <s v="DBK-CMP-100294"/>
    <s v="DBK-CUS-500294"/>
    <x v="7"/>
    <x v="2"/>
    <x v="74"/>
    <n v="8"/>
    <x v="1"/>
    <x v="146"/>
    <n v="5"/>
    <x v="1"/>
    <n v="0"/>
    <x v="0"/>
    <x v="0"/>
  </r>
  <r>
    <s v="DBK-CMP-100295"/>
    <s v="DBK-CUS-500295"/>
    <x v="0"/>
    <x v="3"/>
    <x v="198"/>
    <n v="34"/>
    <x v="1"/>
    <x v="147"/>
    <n v="2"/>
    <x v="1"/>
    <n v="1"/>
    <x v="5"/>
    <x v="1"/>
  </r>
  <r>
    <s v="DBK-CMP-100296"/>
    <s v="DBK-CUS-500296"/>
    <x v="5"/>
    <x v="1"/>
    <x v="161"/>
    <n v="10"/>
    <x v="1"/>
    <x v="148"/>
    <n v="5"/>
    <x v="1"/>
    <n v="0"/>
    <x v="11"/>
    <x v="0"/>
  </r>
  <r>
    <s v="DBK-CMP-100297"/>
    <s v="DBK-CUS-500297"/>
    <x v="6"/>
    <x v="3"/>
    <x v="199"/>
    <n v="22"/>
    <x v="1"/>
    <x v="149"/>
    <n v="3"/>
    <x v="1"/>
    <n v="0"/>
    <x v="4"/>
    <x v="0"/>
  </r>
  <r>
    <s v="DBK-CMP-100298"/>
    <s v="DBK-CUS-500298"/>
    <x v="5"/>
    <x v="0"/>
    <x v="200"/>
    <n v="7"/>
    <x v="1"/>
    <x v="150"/>
    <n v="4"/>
    <x v="1"/>
    <n v="0"/>
    <x v="2"/>
    <x v="0"/>
  </r>
  <r>
    <s v="DBK-CMP-100299"/>
    <s v="DBK-CUS-500299"/>
    <x v="1"/>
    <x v="4"/>
    <x v="201"/>
    <n v="14"/>
    <x v="1"/>
    <x v="20"/>
    <n v="3"/>
    <x v="1"/>
    <n v="0"/>
    <x v="5"/>
    <x v="0"/>
  </r>
  <r>
    <s v="DBK-CMP-100300"/>
    <s v="DBK-CUS-500300"/>
    <x v="1"/>
    <x v="0"/>
    <x v="149"/>
    <n v="10"/>
    <x v="2"/>
    <x v="0"/>
    <m/>
    <x v="0"/>
    <s v=" "/>
    <x v="3"/>
    <x v="0"/>
  </r>
  <r>
    <s v="DBK-CMP-100301"/>
    <s v="DBK-CUS-500301"/>
    <x v="0"/>
    <x v="0"/>
    <x v="103"/>
    <n v="11"/>
    <x v="1"/>
    <x v="151"/>
    <n v="4"/>
    <x v="1"/>
    <n v="0"/>
    <x v="5"/>
    <x v="0"/>
  </r>
  <r>
    <s v="DBK-CMP-100302"/>
    <s v="DBK-CUS-500302"/>
    <x v="0"/>
    <x v="3"/>
    <x v="47"/>
    <n v="9"/>
    <x v="1"/>
    <x v="152"/>
    <n v="4"/>
    <x v="1"/>
    <n v="0"/>
    <x v="6"/>
    <x v="0"/>
  </r>
  <r>
    <s v="DBK-CMP-100303"/>
    <s v="DBK-CUS-500303"/>
    <x v="1"/>
    <x v="0"/>
    <x v="100"/>
    <n v="13"/>
    <x v="0"/>
    <x v="0"/>
    <m/>
    <x v="0"/>
    <s v=" "/>
    <x v="0"/>
    <x v="0"/>
  </r>
  <r>
    <s v="DBK-CMP-100304"/>
    <s v="DBK-CUS-500304"/>
    <x v="7"/>
    <x v="2"/>
    <x v="47"/>
    <n v="9"/>
    <x v="1"/>
    <x v="152"/>
    <n v="4"/>
    <x v="1"/>
    <n v="0"/>
    <x v="6"/>
    <x v="0"/>
  </r>
  <r>
    <s v="DBK-CMP-100305"/>
    <s v="DBK-CUS-500305"/>
    <x v="2"/>
    <x v="4"/>
    <x v="86"/>
    <n v="66"/>
    <x v="1"/>
    <x v="148"/>
    <n v="1"/>
    <x v="1"/>
    <n v="2"/>
    <x v="11"/>
    <x v="1"/>
  </r>
  <r>
    <s v="DBK-CMP-100306"/>
    <s v="DBK-CUS-500306"/>
    <x v="7"/>
    <x v="2"/>
    <x v="202"/>
    <n v="24"/>
    <x v="1"/>
    <x v="132"/>
    <n v="3"/>
    <x v="1"/>
    <n v="1"/>
    <x v="3"/>
    <x v="0"/>
  </r>
  <r>
    <s v="DBK-CMP-100307"/>
    <s v="DBK-CUS-500307"/>
    <x v="2"/>
    <x v="3"/>
    <x v="203"/>
    <n v="77"/>
    <x v="2"/>
    <x v="0"/>
    <m/>
    <x v="0"/>
    <s v=" "/>
    <x v="7"/>
    <x v="2"/>
  </r>
  <r>
    <s v="DBK-CMP-100308"/>
    <s v="DBK-CUS-500308"/>
    <x v="5"/>
    <x v="2"/>
    <x v="100"/>
    <n v="10"/>
    <x v="1"/>
    <x v="153"/>
    <n v="4"/>
    <x v="1"/>
    <n v="0"/>
    <x v="0"/>
    <x v="0"/>
  </r>
  <r>
    <s v="DBK-CMP-100309"/>
    <s v="DBK-CUS-500309"/>
    <x v="1"/>
    <x v="1"/>
    <x v="204"/>
    <n v="34"/>
    <x v="2"/>
    <x v="0"/>
    <m/>
    <x v="0"/>
    <s v=" "/>
    <x v="5"/>
    <x v="1"/>
  </r>
  <r>
    <s v="DBK-CMP-100310"/>
    <s v="DBK-CUS-500310"/>
    <x v="5"/>
    <x v="4"/>
    <x v="205"/>
    <n v="9"/>
    <x v="1"/>
    <x v="154"/>
    <n v="4"/>
    <x v="1"/>
    <n v="0"/>
    <x v="8"/>
    <x v="0"/>
  </r>
  <r>
    <s v="DBK-CMP-100311"/>
    <s v="DBK-CUS-500311"/>
    <x v="6"/>
    <x v="2"/>
    <x v="206"/>
    <n v="17"/>
    <x v="2"/>
    <x v="0"/>
    <m/>
    <x v="0"/>
    <s v=" "/>
    <x v="4"/>
    <x v="0"/>
  </r>
  <r>
    <s v="DBK-CMP-100312"/>
    <s v="DBK-CUS-500312"/>
    <x v="2"/>
    <x v="0"/>
    <x v="207"/>
    <n v="80"/>
    <x v="1"/>
    <x v="155"/>
    <n v="1"/>
    <x v="1"/>
    <n v="3"/>
    <x v="4"/>
    <x v="2"/>
  </r>
  <r>
    <s v="DBK-CMP-100313"/>
    <s v="DBK-CUS-500313"/>
    <x v="7"/>
    <x v="0"/>
    <x v="208"/>
    <n v="23"/>
    <x v="1"/>
    <x v="156"/>
    <n v="3"/>
    <x v="1"/>
    <n v="0"/>
    <x v="3"/>
    <x v="0"/>
  </r>
  <r>
    <s v="DBK-CMP-100314"/>
    <s v="DBK-CUS-500314"/>
    <x v="4"/>
    <x v="0"/>
    <x v="209"/>
    <n v="61"/>
    <x v="1"/>
    <x v="157"/>
    <n v="1"/>
    <x v="1"/>
    <n v="2"/>
    <x v="1"/>
    <x v="1"/>
  </r>
  <r>
    <s v="DBK-CMP-100315"/>
    <s v="DBK-CUS-500315"/>
    <x v="6"/>
    <x v="0"/>
    <x v="39"/>
    <n v="23"/>
    <x v="1"/>
    <x v="80"/>
    <n v="3"/>
    <x v="1"/>
    <n v="0"/>
    <x v="2"/>
    <x v="0"/>
  </r>
  <r>
    <s v="DBK-CMP-100316"/>
    <s v="DBK-CUS-500316"/>
    <x v="4"/>
    <x v="1"/>
    <x v="210"/>
    <n v="39"/>
    <x v="1"/>
    <x v="31"/>
    <n v="2"/>
    <x v="1"/>
    <n v="1"/>
    <x v="10"/>
    <x v="1"/>
  </r>
  <r>
    <s v="DBK-CMP-100317"/>
    <s v="DBK-CUS-500317"/>
    <x v="1"/>
    <x v="1"/>
    <x v="211"/>
    <n v="25"/>
    <x v="1"/>
    <x v="68"/>
    <n v="2"/>
    <x v="1"/>
    <n v="1"/>
    <x v="7"/>
    <x v="1"/>
  </r>
  <r>
    <s v="DBK-CMP-100318"/>
    <s v="DBK-CUS-500318"/>
    <x v="2"/>
    <x v="1"/>
    <x v="21"/>
    <n v="80"/>
    <x v="1"/>
    <x v="74"/>
    <n v="1"/>
    <x v="1"/>
    <n v="3"/>
    <x v="10"/>
    <x v="2"/>
  </r>
  <r>
    <s v="DBK-CMP-100319"/>
    <s v="DBK-CUS-500319"/>
    <x v="2"/>
    <x v="2"/>
    <x v="212"/>
    <n v="69"/>
    <x v="1"/>
    <x v="158"/>
    <n v="1"/>
    <x v="1"/>
    <n v="2"/>
    <x v="11"/>
    <x v="1"/>
  </r>
  <r>
    <s v="DBK-CMP-100320"/>
    <s v="DBK-CUS-500320"/>
    <x v="3"/>
    <x v="0"/>
    <x v="213"/>
    <n v="19"/>
    <x v="0"/>
    <x v="0"/>
    <m/>
    <x v="0"/>
    <s v=" "/>
    <x v="10"/>
    <x v="0"/>
  </r>
  <r>
    <s v="DBK-CMP-100321"/>
    <s v="DBK-CUS-500321"/>
    <x v="2"/>
    <x v="0"/>
    <x v="214"/>
    <n v="25"/>
    <x v="1"/>
    <x v="57"/>
    <n v="2"/>
    <x v="1"/>
    <n v="1"/>
    <x v="11"/>
    <x v="1"/>
  </r>
  <r>
    <s v="DBK-CMP-100322"/>
    <s v="DBK-CUS-500322"/>
    <x v="6"/>
    <x v="0"/>
    <x v="215"/>
    <n v="2"/>
    <x v="1"/>
    <x v="159"/>
    <n v="5"/>
    <x v="1"/>
    <n v="0"/>
    <x v="4"/>
    <x v="0"/>
  </r>
  <r>
    <s v="DBK-CMP-100323"/>
    <s v="DBK-CUS-500323"/>
    <x v="1"/>
    <x v="0"/>
    <x v="216"/>
    <n v="11"/>
    <x v="1"/>
    <x v="142"/>
    <n v="4"/>
    <x v="1"/>
    <n v="0"/>
    <x v="2"/>
    <x v="0"/>
  </r>
  <r>
    <s v="DBK-CMP-100324"/>
    <s v="DBK-CUS-500324"/>
    <x v="6"/>
    <x v="2"/>
    <x v="217"/>
    <n v="15"/>
    <x v="1"/>
    <x v="160"/>
    <n v="3"/>
    <x v="1"/>
    <n v="0"/>
    <x v="6"/>
    <x v="0"/>
  </r>
  <r>
    <s v="DBK-CMP-100325"/>
    <s v="DBK-CUS-500325"/>
    <x v="6"/>
    <x v="0"/>
    <x v="218"/>
    <n v="8"/>
    <x v="0"/>
    <x v="0"/>
    <m/>
    <x v="0"/>
    <s v=" "/>
    <x v="0"/>
    <x v="0"/>
  </r>
  <r>
    <s v="DBK-CMP-100326"/>
    <s v="DBK-CUS-500326"/>
    <x v="0"/>
    <x v="3"/>
    <x v="172"/>
    <n v="8"/>
    <x v="1"/>
    <x v="46"/>
    <n v="4"/>
    <x v="1"/>
    <n v="0"/>
    <x v="6"/>
    <x v="0"/>
  </r>
  <r>
    <s v="DBK-CMP-100327"/>
    <s v="DBK-CUS-500327"/>
    <x v="0"/>
    <x v="3"/>
    <x v="219"/>
    <n v="6"/>
    <x v="0"/>
    <x v="0"/>
    <m/>
    <x v="0"/>
    <s v=" "/>
    <x v="8"/>
    <x v="0"/>
  </r>
  <r>
    <s v="DBK-CMP-100328"/>
    <s v="DBK-CUS-500328"/>
    <x v="1"/>
    <x v="4"/>
    <x v="220"/>
    <n v="18"/>
    <x v="0"/>
    <x v="0"/>
    <m/>
    <x v="0"/>
    <s v=" "/>
    <x v="10"/>
    <x v="0"/>
  </r>
  <r>
    <s v="DBK-CMP-100329"/>
    <s v="DBK-CUS-500329"/>
    <x v="7"/>
    <x v="0"/>
    <x v="221"/>
    <n v="20"/>
    <x v="1"/>
    <x v="161"/>
    <n v="3"/>
    <x v="1"/>
    <n v="0"/>
    <x v="11"/>
    <x v="0"/>
  </r>
  <r>
    <s v="DBK-CMP-100330"/>
    <s v="DBK-CUS-500330"/>
    <x v="4"/>
    <x v="1"/>
    <x v="115"/>
    <n v="56"/>
    <x v="0"/>
    <x v="0"/>
    <m/>
    <x v="0"/>
    <s v=" "/>
    <x v="9"/>
    <x v="1"/>
  </r>
  <r>
    <s v="DBK-CMP-100331"/>
    <s v="DBK-CUS-500331"/>
    <x v="7"/>
    <x v="1"/>
    <x v="222"/>
    <n v="21"/>
    <x v="1"/>
    <x v="162"/>
    <n v="3"/>
    <x v="1"/>
    <n v="0"/>
    <x v="2"/>
    <x v="0"/>
  </r>
  <r>
    <s v="DBK-CMP-100332"/>
    <s v="DBK-CUS-500332"/>
    <x v="2"/>
    <x v="0"/>
    <x v="223"/>
    <n v="39"/>
    <x v="0"/>
    <x v="0"/>
    <m/>
    <x v="0"/>
    <s v=" "/>
    <x v="3"/>
    <x v="1"/>
  </r>
  <r>
    <s v="DBK-CMP-100333"/>
    <s v="DBK-CUS-500333"/>
    <x v="4"/>
    <x v="3"/>
    <x v="121"/>
    <n v="72"/>
    <x v="0"/>
    <x v="0"/>
    <m/>
    <x v="0"/>
    <s v=" "/>
    <x v="0"/>
    <x v="1"/>
  </r>
  <r>
    <s v="DBK-CMP-100334"/>
    <s v="DBK-CUS-500334"/>
    <x v="6"/>
    <x v="2"/>
    <x v="123"/>
    <n v="12"/>
    <x v="1"/>
    <x v="163"/>
    <n v="4"/>
    <x v="1"/>
    <n v="0"/>
    <x v="5"/>
    <x v="0"/>
  </r>
  <r>
    <s v="DBK-CMP-100335"/>
    <s v="DBK-CUS-500335"/>
    <x v="3"/>
    <x v="2"/>
    <x v="224"/>
    <n v="51"/>
    <x v="0"/>
    <x v="0"/>
    <m/>
    <x v="0"/>
    <s v=" "/>
    <x v="3"/>
    <x v="1"/>
  </r>
  <r>
    <s v="DBK-CMP-100336"/>
    <s v="DBK-CUS-500336"/>
    <x v="1"/>
    <x v="1"/>
    <x v="31"/>
    <n v="15"/>
    <x v="1"/>
    <x v="164"/>
    <n v="3"/>
    <x v="1"/>
    <n v="0"/>
    <x v="3"/>
    <x v="0"/>
  </r>
  <r>
    <s v="DBK-CMP-100337"/>
    <s v="DBK-CUS-500337"/>
    <x v="0"/>
    <x v="4"/>
    <x v="56"/>
    <n v="23"/>
    <x v="1"/>
    <x v="35"/>
    <n v="3"/>
    <x v="1"/>
    <n v="0"/>
    <x v="7"/>
    <x v="0"/>
  </r>
  <r>
    <s v="DBK-CMP-100338"/>
    <s v="DBK-CUS-500338"/>
    <x v="5"/>
    <x v="2"/>
    <x v="95"/>
    <n v="3"/>
    <x v="1"/>
    <x v="67"/>
    <n v="5"/>
    <x v="1"/>
    <n v="0"/>
    <x v="11"/>
    <x v="0"/>
  </r>
  <r>
    <s v="DBK-CMP-100339"/>
    <s v="DBK-CUS-500339"/>
    <x v="1"/>
    <x v="2"/>
    <x v="196"/>
    <n v="13"/>
    <x v="1"/>
    <x v="165"/>
    <n v="3"/>
    <x v="1"/>
    <n v="0"/>
    <x v="9"/>
    <x v="0"/>
  </r>
  <r>
    <s v="DBK-CMP-100340"/>
    <s v="DBK-CUS-500340"/>
    <x v="1"/>
    <x v="3"/>
    <x v="11"/>
    <n v="21"/>
    <x v="2"/>
    <x v="0"/>
    <m/>
    <x v="0"/>
    <s v=" "/>
    <x v="1"/>
    <x v="0"/>
  </r>
  <r>
    <s v="DBK-CMP-100341"/>
    <s v="DBK-CUS-500341"/>
    <x v="0"/>
    <x v="2"/>
    <x v="132"/>
    <n v="10"/>
    <x v="1"/>
    <x v="100"/>
    <n v="4"/>
    <x v="1"/>
    <n v="0"/>
    <x v="6"/>
    <x v="0"/>
  </r>
  <r>
    <s v="DBK-CMP-100342"/>
    <s v="DBK-CUS-500342"/>
    <x v="1"/>
    <x v="0"/>
    <x v="225"/>
    <n v="11"/>
    <x v="2"/>
    <x v="0"/>
    <m/>
    <x v="0"/>
    <s v=" "/>
    <x v="9"/>
    <x v="0"/>
  </r>
  <r>
    <s v="DBK-CMP-100343"/>
    <s v="DBK-CUS-500343"/>
    <x v="5"/>
    <x v="0"/>
    <x v="226"/>
    <n v="5"/>
    <x v="1"/>
    <x v="147"/>
    <n v="5"/>
    <x v="1"/>
    <n v="0"/>
    <x v="5"/>
    <x v="0"/>
  </r>
  <r>
    <s v="DBK-CMP-100344"/>
    <s v="DBK-CUS-500344"/>
    <x v="0"/>
    <x v="3"/>
    <x v="227"/>
    <n v="19"/>
    <x v="1"/>
    <x v="4"/>
    <n v="5"/>
    <x v="1"/>
    <n v="0"/>
    <x v="6"/>
    <x v="0"/>
  </r>
  <r>
    <s v="DBK-CMP-100345"/>
    <s v="DBK-CUS-500345"/>
    <x v="6"/>
    <x v="2"/>
    <x v="114"/>
    <n v="14"/>
    <x v="0"/>
    <x v="0"/>
    <m/>
    <x v="0"/>
    <s v=" "/>
    <x v="3"/>
    <x v="0"/>
  </r>
  <r>
    <s v="DBK-CMP-100346"/>
    <s v="DBK-CUS-500346"/>
    <x v="4"/>
    <x v="1"/>
    <x v="85"/>
    <n v="61"/>
    <x v="2"/>
    <x v="0"/>
    <m/>
    <x v="0"/>
    <s v=" "/>
    <x v="0"/>
    <x v="1"/>
  </r>
  <r>
    <s v="DBK-CMP-100347"/>
    <s v="DBK-CUS-500347"/>
    <x v="7"/>
    <x v="2"/>
    <x v="225"/>
    <n v="17"/>
    <x v="1"/>
    <x v="166"/>
    <n v="3"/>
    <x v="1"/>
    <n v="0"/>
    <x v="9"/>
    <x v="0"/>
  </r>
  <r>
    <s v="DBK-CMP-100348"/>
    <s v="DBK-CUS-500348"/>
    <x v="6"/>
    <x v="2"/>
    <x v="185"/>
    <n v="3"/>
    <x v="1"/>
    <x v="167"/>
    <n v="5"/>
    <x v="1"/>
    <n v="0"/>
    <x v="2"/>
    <x v="0"/>
  </r>
  <r>
    <s v="DBK-CMP-100349"/>
    <s v="DBK-CUS-500349"/>
    <x v="7"/>
    <x v="0"/>
    <x v="81"/>
    <n v="3"/>
    <x v="0"/>
    <x v="0"/>
    <m/>
    <x v="0"/>
    <s v=" "/>
    <x v="10"/>
    <x v="0"/>
  </r>
  <r>
    <s v="DBK-CMP-100350"/>
    <s v="DBK-CUS-500350"/>
    <x v="7"/>
    <x v="3"/>
    <x v="228"/>
    <n v="10"/>
    <x v="1"/>
    <x v="76"/>
    <n v="4"/>
    <x v="1"/>
    <n v="0"/>
    <x v="3"/>
    <x v="0"/>
  </r>
  <r>
    <s v="DBK-CMP-100351"/>
    <s v="DBK-CUS-500351"/>
    <x v="3"/>
    <x v="0"/>
    <x v="229"/>
    <n v="67"/>
    <x v="1"/>
    <x v="91"/>
    <n v="1"/>
    <x v="1"/>
    <n v="2"/>
    <x v="1"/>
    <x v="1"/>
  </r>
  <r>
    <s v="DBK-CMP-100352"/>
    <s v="DBK-CUS-500352"/>
    <x v="2"/>
    <x v="1"/>
    <x v="104"/>
    <n v="56"/>
    <x v="1"/>
    <x v="168"/>
    <n v="1"/>
    <x v="1"/>
    <n v="2"/>
    <x v="3"/>
    <x v="1"/>
  </r>
  <r>
    <s v="DBK-CMP-100353"/>
    <s v="DBK-CUS-500353"/>
    <x v="3"/>
    <x v="2"/>
    <x v="230"/>
    <n v="52"/>
    <x v="1"/>
    <x v="169"/>
    <n v="1"/>
    <x v="1"/>
    <n v="2"/>
    <x v="4"/>
    <x v="1"/>
  </r>
  <r>
    <s v="DBK-CMP-100354"/>
    <s v="DBK-CUS-500354"/>
    <x v="2"/>
    <x v="0"/>
    <x v="231"/>
    <n v="55"/>
    <x v="1"/>
    <x v="109"/>
    <n v="1"/>
    <x v="1"/>
    <n v="2"/>
    <x v="8"/>
    <x v="1"/>
  </r>
  <r>
    <s v="DBK-CMP-100355"/>
    <s v="DBK-CUS-500355"/>
    <x v="1"/>
    <x v="1"/>
    <x v="225"/>
    <n v="17"/>
    <x v="1"/>
    <x v="166"/>
    <n v="3"/>
    <x v="1"/>
    <n v="0"/>
    <x v="9"/>
    <x v="0"/>
  </r>
  <r>
    <s v="DBK-CMP-100356"/>
    <s v="DBK-CUS-500356"/>
    <x v="1"/>
    <x v="0"/>
    <x v="106"/>
    <n v="26"/>
    <x v="1"/>
    <x v="30"/>
    <n v="2"/>
    <x v="1"/>
    <n v="1"/>
    <x v="11"/>
    <x v="1"/>
  </r>
  <r>
    <s v="DBK-CMP-100357"/>
    <s v="DBK-CUS-500357"/>
    <x v="5"/>
    <x v="0"/>
    <x v="228"/>
    <n v="12"/>
    <x v="1"/>
    <x v="76"/>
    <n v="4"/>
    <x v="1"/>
    <n v="0"/>
    <x v="3"/>
    <x v="0"/>
  </r>
  <r>
    <s v="DBK-CMP-100358"/>
    <s v="DBK-CUS-500358"/>
    <x v="2"/>
    <x v="4"/>
    <x v="101"/>
    <n v="87"/>
    <x v="0"/>
    <x v="0"/>
    <m/>
    <x v="0"/>
    <s v=" "/>
    <x v="4"/>
    <x v="2"/>
  </r>
  <r>
    <s v="DBK-CMP-100359"/>
    <s v="DBK-CUS-500359"/>
    <x v="2"/>
    <x v="2"/>
    <x v="232"/>
    <n v="76"/>
    <x v="1"/>
    <x v="170"/>
    <n v="5"/>
    <x v="1"/>
    <n v="3"/>
    <x v="1"/>
    <x v="2"/>
  </r>
  <r>
    <s v="DBK-CMP-100360"/>
    <s v="DBK-CUS-500360"/>
    <x v="2"/>
    <x v="0"/>
    <x v="174"/>
    <n v="32"/>
    <x v="2"/>
    <x v="0"/>
    <m/>
    <x v="0"/>
    <s v=" "/>
    <x v="0"/>
    <x v="1"/>
  </r>
  <r>
    <s v="DBK-CMP-100361"/>
    <s v="DBK-CUS-500361"/>
    <x v="3"/>
    <x v="3"/>
    <x v="90"/>
    <n v="26"/>
    <x v="1"/>
    <x v="150"/>
    <n v="2"/>
    <x v="1"/>
    <n v="1"/>
    <x v="2"/>
    <x v="1"/>
  </r>
  <r>
    <s v="DBK-CMP-100362"/>
    <s v="DBK-CUS-500362"/>
    <x v="6"/>
    <x v="2"/>
    <x v="233"/>
    <n v="8"/>
    <x v="1"/>
    <x v="171"/>
    <n v="4"/>
    <x v="1"/>
    <n v="0"/>
    <x v="9"/>
    <x v="0"/>
  </r>
  <r>
    <s v="DBK-CMP-100363"/>
    <s v="DBK-CUS-500363"/>
    <x v="5"/>
    <x v="1"/>
    <x v="232"/>
    <n v="3"/>
    <x v="1"/>
    <x v="172"/>
    <n v="5"/>
    <x v="1"/>
    <n v="0"/>
    <x v="1"/>
    <x v="0"/>
  </r>
  <r>
    <s v="DBK-CMP-100364"/>
    <s v="DBK-CUS-500364"/>
    <x v="4"/>
    <x v="1"/>
    <x v="105"/>
    <n v="11"/>
    <x v="1"/>
    <x v="173"/>
    <n v="4"/>
    <x v="1"/>
    <n v="0"/>
    <x v="11"/>
    <x v="0"/>
  </r>
  <r>
    <s v="DBK-CMP-100365"/>
    <s v="DBK-CUS-500365"/>
    <x v="0"/>
    <x v="1"/>
    <x v="199"/>
    <n v="41"/>
    <x v="1"/>
    <x v="174"/>
    <n v="2"/>
    <x v="1"/>
    <n v="1"/>
    <x v="4"/>
    <x v="1"/>
  </r>
  <r>
    <s v="DBK-CMP-100366"/>
    <s v="DBK-CUS-500366"/>
    <x v="3"/>
    <x v="1"/>
    <x v="234"/>
    <n v="20"/>
    <x v="2"/>
    <x v="0"/>
    <m/>
    <x v="0"/>
    <s v=" "/>
    <x v="6"/>
    <x v="0"/>
  </r>
  <r>
    <s v="DBK-CMP-100367"/>
    <s v="DBK-CUS-500367"/>
    <x v="7"/>
    <x v="2"/>
    <x v="235"/>
    <n v="2"/>
    <x v="1"/>
    <x v="175"/>
    <n v="5"/>
    <x v="1"/>
    <n v="0"/>
    <x v="6"/>
    <x v="0"/>
  </r>
  <r>
    <s v="DBK-CMP-100368"/>
    <s v="DBK-CUS-500368"/>
    <x v="6"/>
    <x v="0"/>
    <x v="199"/>
    <n v="13"/>
    <x v="1"/>
    <x v="149"/>
    <n v="3"/>
    <x v="1"/>
    <n v="0"/>
    <x v="4"/>
    <x v="0"/>
  </r>
  <r>
    <s v="DBK-CMP-100369"/>
    <s v="DBK-CUS-500369"/>
    <x v="1"/>
    <x v="2"/>
    <x v="236"/>
    <n v="22"/>
    <x v="1"/>
    <x v="42"/>
    <n v="5"/>
    <x v="1"/>
    <n v="0"/>
    <x v="10"/>
    <x v="0"/>
  </r>
  <r>
    <s v="DBK-CMP-100370"/>
    <s v="DBK-CUS-500370"/>
    <x v="4"/>
    <x v="1"/>
    <x v="126"/>
    <n v="49"/>
    <x v="1"/>
    <x v="104"/>
    <n v="1"/>
    <x v="1"/>
    <n v="2"/>
    <x v="8"/>
    <x v="1"/>
  </r>
  <r>
    <s v="DBK-CMP-100371"/>
    <s v="DBK-CUS-500371"/>
    <x v="6"/>
    <x v="2"/>
    <x v="237"/>
    <n v="9"/>
    <x v="1"/>
    <x v="107"/>
    <n v="4"/>
    <x v="1"/>
    <n v="0"/>
    <x v="8"/>
    <x v="0"/>
  </r>
  <r>
    <s v="DBK-CMP-100372"/>
    <s v="DBK-CUS-500372"/>
    <x v="0"/>
    <x v="3"/>
    <x v="54"/>
    <n v="8"/>
    <x v="1"/>
    <x v="25"/>
    <n v="4"/>
    <x v="1"/>
    <n v="0"/>
    <x v="2"/>
    <x v="0"/>
  </r>
  <r>
    <s v="DBK-CMP-100373"/>
    <s v="DBK-CUS-500373"/>
    <x v="2"/>
    <x v="2"/>
    <x v="150"/>
    <n v="33"/>
    <x v="1"/>
    <x v="176"/>
    <n v="5"/>
    <x v="1"/>
    <n v="1"/>
    <x v="10"/>
    <x v="1"/>
  </r>
  <r>
    <s v="DBK-CMP-100374"/>
    <s v="DBK-CUS-500374"/>
    <x v="1"/>
    <x v="4"/>
    <x v="238"/>
    <n v="6"/>
    <x v="0"/>
    <x v="0"/>
    <m/>
    <x v="0"/>
    <s v=" "/>
    <x v="11"/>
    <x v="0"/>
  </r>
  <r>
    <s v="DBK-CMP-100375"/>
    <s v="DBK-CUS-500375"/>
    <x v="5"/>
    <x v="4"/>
    <x v="239"/>
    <n v="4"/>
    <x v="1"/>
    <x v="176"/>
    <n v="5"/>
    <x v="1"/>
    <n v="0"/>
    <x v="10"/>
    <x v="0"/>
  </r>
  <r>
    <s v="DBK-CMP-100376"/>
    <s v="DBK-CUS-500376"/>
    <x v="4"/>
    <x v="3"/>
    <x v="240"/>
    <n v="15"/>
    <x v="1"/>
    <x v="64"/>
    <n v="3"/>
    <x v="1"/>
    <n v="0"/>
    <x v="9"/>
    <x v="0"/>
  </r>
  <r>
    <s v="DBK-CMP-100377"/>
    <s v="DBK-CUS-500377"/>
    <x v="3"/>
    <x v="3"/>
    <x v="100"/>
    <n v="17"/>
    <x v="1"/>
    <x v="153"/>
    <n v="3"/>
    <x v="1"/>
    <n v="0"/>
    <x v="0"/>
    <x v="0"/>
  </r>
  <r>
    <s v="DBK-CMP-100378"/>
    <s v="DBK-CUS-500378"/>
    <x v="3"/>
    <x v="0"/>
    <x v="237"/>
    <n v="29"/>
    <x v="1"/>
    <x v="177"/>
    <n v="2"/>
    <x v="1"/>
    <n v="1"/>
    <x v="8"/>
    <x v="1"/>
  </r>
  <r>
    <s v="DBK-CMP-100379"/>
    <s v="DBK-CUS-500379"/>
    <x v="0"/>
    <x v="1"/>
    <x v="138"/>
    <n v="14"/>
    <x v="1"/>
    <x v="178"/>
    <n v="3"/>
    <x v="1"/>
    <n v="0"/>
    <x v="3"/>
    <x v="0"/>
  </r>
  <r>
    <s v="DBK-CMP-100380"/>
    <s v="DBK-CUS-500380"/>
    <x v="7"/>
    <x v="0"/>
    <x v="241"/>
    <n v="22"/>
    <x v="2"/>
    <x v="0"/>
    <m/>
    <x v="0"/>
    <s v=" "/>
    <x v="8"/>
    <x v="0"/>
  </r>
  <r>
    <s v="DBK-CMP-100381"/>
    <s v="DBK-CUS-500381"/>
    <x v="3"/>
    <x v="0"/>
    <x v="191"/>
    <n v="13"/>
    <x v="0"/>
    <x v="0"/>
    <m/>
    <x v="0"/>
    <s v=" "/>
    <x v="2"/>
    <x v="0"/>
  </r>
  <r>
    <s v="DBK-CMP-100382"/>
    <s v="DBK-CUS-500382"/>
    <x v="7"/>
    <x v="0"/>
    <x v="13"/>
    <n v="22"/>
    <x v="1"/>
    <x v="7"/>
    <n v="3"/>
    <x v="1"/>
    <n v="0"/>
    <x v="4"/>
    <x v="0"/>
  </r>
  <r>
    <s v="DBK-CMP-100383"/>
    <s v="DBK-CUS-500383"/>
    <x v="0"/>
    <x v="4"/>
    <x v="242"/>
    <n v="31"/>
    <x v="1"/>
    <x v="153"/>
    <n v="2"/>
    <x v="1"/>
    <n v="1"/>
    <x v="0"/>
    <x v="1"/>
  </r>
  <r>
    <s v="DBK-CMP-100384"/>
    <s v="DBK-CUS-500384"/>
    <x v="3"/>
    <x v="0"/>
    <x v="33"/>
    <n v="36"/>
    <x v="0"/>
    <x v="0"/>
    <m/>
    <x v="0"/>
    <s v=" "/>
    <x v="8"/>
    <x v="1"/>
  </r>
  <r>
    <s v="DBK-CMP-100385"/>
    <s v="DBK-CUS-500385"/>
    <x v="1"/>
    <x v="4"/>
    <x v="243"/>
    <n v="36"/>
    <x v="1"/>
    <x v="179"/>
    <n v="2"/>
    <x v="1"/>
    <n v="1"/>
    <x v="9"/>
    <x v="1"/>
  </r>
  <r>
    <s v="DBK-CMP-100386"/>
    <s v="DBK-CUS-500386"/>
    <x v="4"/>
    <x v="3"/>
    <x v="6"/>
    <n v="17"/>
    <x v="0"/>
    <x v="0"/>
    <m/>
    <x v="0"/>
    <s v=" "/>
    <x v="5"/>
    <x v="0"/>
  </r>
  <r>
    <s v="DBK-CMP-100387"/>
    <s v="DBK-CUS-500387"/>
    <x v="6"/>
    <x v="3"/>
    <x v="188"/>
    <n v="2"/>
    <x v="1"/>
    <x v="65"/>
    <n v="5"/>
    <x v="1"/>
    <n v="0"/>
    <x v="2"/>
    <x v="0"/>
  </r>
  <r>
    <s v="DBK-CMP-100388"/>
    <s v="DBK-CUS-500388"/>
    <x v="3"/>
    <x v="3"/>
    <x v="24"/>
    <n v="52"/>
    <x v="1"/>
    <x v="108"/>
    <n v="1"/>
    <x v="1"/>
    <n v="2"/>
    <x v="1"/>
    <x v="1"/>
  </r>
  <r>
    <s v="DBK-CMP-100389"/>
    <s v="DBK-CUS-500389"/>
    <x v="3"/>
    <x v="1"/>
    <x v="244"/>
    <n v="31"/>
    <x v="1"/>
    <x v="180"/>
    <n v="2"/>
    <x v="1"/>
    <n v="1"/>
    <x v="10"/>
    <x v="1"/>
  </r>
  <r>
    <s v="DBK-CMP-100390"/>
    <s v="DBK-CUS-500390"/>
    <x v="7"/>
    <x v="3"/>
    <x v="9"/>
    <n v="6"/>
    <x v="1"/>
    <x v="53"/>
    <n v="5"/>
    <x v="1"/>
    <n v="0"/>
    <x v="3"/>
    <x v="0"/>
  </r>
  <r>
    <s v="DBK-CMP-100391"/>
    <s v="DBK-CUS-500391"/>
    <x v="0"/>
    <x v="4"/>
    <x v="189"/>
    <n v="33"/>
    <x v="1"/>
    <x v="142"/>
    <n v="2"/>
    <x v="1"/>
    <n v="1"/>
    <x v="2"/>
    <x v="1"/>
  </r>
  <r>
    <s v="DBK-CMP-100392"/>
    <s v="DBK-CUS-500392"/>
    <x v="6"/>
    <x v="0"/>
    <x v="245"/>
    <n v="23"/>
    <x v="0"/>
    <x v="0"/>
    <m/>
    <x v="0"/>
    <s v=" "/>
    <x v="11"/>
    <x v="0"/>
  </r>
  <r>
    <s v="DBK-CMP-100393"/>
    <s v="DBK-CUS-500393"/>
    <x v="2"/>
    <x v="0"/>
    <x v="68"/>
    <n v="80"/>
    <x v="1"/>
    <x v="181"/>
    <n v="5"/>
    <x v="1"/>
    <n v="3"/>
    <x v="11"/>
    <x v="2"/>
  </r>
  <r>
    <s v="DBK-CMP-100394"/>
    <s v="DBK-CUS-500394"/>
    <x v="3"/>
    <x v="1"/>
    <x v="78"/>
    <n v="30"/>
    <x v="1"/>
    <x v="163"/>
    <n v="2"/>
    <x v="1"/>
    <n v="1"/>
    <x v="5"/>
    <x v="1"/>
  </r>
  <r>
    <s v="DBK-CMP-100395"/>
    <s v="DBK-CUS-500395"/>
    <x v="4"/>
    <x v="1"/>
    <x v="230"/>
    <n v="42"/>
    <x v="1"/>
    <x v="36"/>
    <n v="2"/>
    <x v="1"/>
    <n v="1"/>
    <x v="4"/>
    <x v="1"/>
  </r>
  <r>
    <s v="DBK-CMP-100396"/>
    <s v="DBK-CUS-500396"/>
    <x v="5"/>
    <x v="3"/>
    <x v="237"/>
    <n v="7"/>
    <x v="0"/>
    <x v="0"/>
    <m/>
    <x v="0"/>
    <s v=" "/>
    <x v="8"/>
    <x v="0"/>
  </r>
  <r>
    <s v="DBK-CMP-100397"/>
    <s v="DBK-CUS-500397"/>
    <x v="0"/>
    <x v="1"/>
    <x v="223"/>
    <n v="18"/>
    <x v="2"/>
    <x v="0"/>
    <m/>
    <x v="0"/>
    <s v=" "/>
    <x v="3"/>
    <x v="0"/>
  </r>
  <r>
    <s v="DBK-CMP-100398"/>
    <s v="DBK-CUS-500398"/>
    <x v="4"/>
    <x v="2"/>
    <x v="210"/>
    <n v="31"/>
    <x v="1"/>
    <x v="31"/>
    <n v="2"/>
    <x v="1"/>
    <n v="1"/>
    <x v="10"/>
    <x v="1"/>
  </r>
  <r>
    <s v="DBK-CMP-100399"/>
    <s v="DBK-CUS-500399"/>
    <x v="4"/>
    <x v="2"/>
    <x v="81"/>
    <n v="18"/>
    <x v="0"/>
    <x v="0"/>
    <m/>
    <x v="0"/>
    <s v=" "/>
    <x v="10"/>
    <x v="0"/>
  </r>
  <r>
    <s v="DBK-CMP-100400"/>
    <s v="DBK-CUS-500400"/>
    <x v="0"/>
    <x v="1"/>
    <x v="16"/>
    <n v="44"/>
    <x v="1"/>
    <x v="20"/>
    <n v="2"/>
    <x v="1"/>
    <n v="1"/>
    <x v="5"/>
    <x v="1"/>
  </r>
  <r>
    <s v="DBK-CMP-100401"/>
    <s v="DBK-CUS-500401"/>
    <x v="3"/>
    <x v="2"/>
    <x v="75"/>
    <n v="72"/>
    <x v="1"/>
    <x v="182"/>
    <n v="1"/>
    <x v="1"/>
    <n v="3"/>
    <x v="3"/>
    <x v="1"/>
  </r>
  <r>
    <s v="DBK-CMP-100402"/>
    <s v="DBK-CUS-500402"/>
    <x v="2"/>
    <x v="1"/>
    <x v="246"/>
    <n v="50"/>
    <x v="2"/>
    <x v="0"/>
    <m/>
    <x v="0"/>
    <s v=" "/>
    <x v="1"/>
    <x v="1"/>
  </r>
  <r>
    <s v="DBK-CMP-100403"/>
    <s v="DBK-CUS-500403"/>
    <x v="3"/>
    <x v="1"/>
    <x v="141"/>
    <n v="18"/>
    <x v="0"/>
    <x v="0"/>
    <m/>
    <x v="0"/>
    <s v=" "/>
    <x v="9"/>
    <x v="0"/>
  </r>
  <r>
    <s v="DBK-CMP-100404"/>
    <s v="DBK-CUS-500404"/>
    <x v="5"/>
    <x v="3"/>
    <x v="245"/>
    <n v="9"/>
    <x v="1"/>
    <x v="30"/>
    <n v="4"/>
    <x v="1"/>
    <n v="0"/>
    <x v="11"/>
    <x v="0"/>
  </r>
  <r>
    <s v="DBK-CMP-100405"/>
    <s v="DBK-CUS-500405"/>
    <x v="5"/>
    <x v="4"/>
    <x v="247"/>
    <n v="11"/>
    <x v="1"/>
    <x v="55"/>
    <n v="4"/>
    <x v="1"/>
    <n v="0"/>
    <x v="6"/>
    <x v="0"/>
  </r>
  <r>
    <s v="DBK-CMP-100406"/>
    <s v="DBK-CUS-500406"/>
    <x v="7"/>
    <x v="0"/>
    <x v="119"/>
    <n v="17"/>
    <x v="1"/>
    <x v="68"/>
    <n v="3"/>
    <x v="1"/>
    <n v="0"/>
    <x v="7"/>
    <x v="0"/>
  </r>
  <r>
    <s v="DBK-CMP-100407"/>
    <s v="DBK-CUS-500407"/>
    <x v="7"/>
    <x v="1"/>
    <x v="13"/>
    <n v="13"/>
    <x v="1"/>
    <x v="7"/>
    <n v="5"/>
    <x v="1"/>
    <n v="0"/>
    <x v="4"/>
    <x v="0"/>
  </r>
  <r>
    <s v="DBK-CMP-100408"/>
    <s v="DBK-CUS-500408"/>
    <x v="4"/>
    <x v="2"/>
    <x v="248"/>
    <n v="25"/>
    <x v="1"/>
    <x v="164"/>
    <n v="2"/>
    <x v="1"/>
    <n v="1"/>
    <x v="3"/>
    <x v="1"/>
  </r>
  <r>
    <s v="DBK-CMP-100409"/>
    <s v="DBK-CUS-500409"/>
    <x v="6"/>
    <x v="3"/>
    <x v="222"/>
    <n v="19"/>
    <x v="1"/>
    <x v="162"/>
    <n v="5"/>
    <x v="1"/>
    <n v="0"/>
    <x v="2"/>
    <x v="0"/>
  </r>
  <r>
    <s v="DBK-CMP-100410"/>
    <s v="DBK-CUS-500410"/>
    <x v="3"/>
    <x v="0"/>
    <x v="21"/>
    <n v="57"/>
    <x v="1"/>
    <x v="183"/>
    <n v="5"/>
    <x v="1"/>
    <n v="2"/>
    <x v="10"/>
    <x v="1"/>
  </r>
  <r>
    <s v="DBK-CMP-100411"/>
    <s v="DBK-CUS-500411"/>
    <x v="1"/>
    <x v="3"/>
    <x v="97"/>
    <n v="28"/>
    <x v="2"/>
    <x v="0"/>
    <m/>
    <x v="0"/>
    <s v=" "/>
    <x v="10"/>
    <x v="1"/>
  </r>
  <r>
    <s v="DBK-CMP-100412"/>
    <s v="DBK-CUS-500412"/>
    <x v="7"/>
    <x v="0"/>
    <x v="83"/>
    <n v="16"/>
    <x v="1"/>
    <x v="184"/>
    <n v="3"/>
    <x v="1"/>
    <n v="0"/>
    <x v="6"/>
    <x v="0"/>
  </r>
  <r>
    <s v="DBK-CMP-100413"/>
    <s v="DBK-CUS-500413"/>
    <x v="7"/>
    <x v="1"/>
    <x v="249"/>
    <n v="22"/>
    <x v="1"/>
    <x v="168"/>
    <n v="3"/>
    <x v="1"/>
    <n v="0"/>
    <x v="3"/>
    <x v="0"/>
  </r>
  <r>
    <s v="DBK-CMP-100414"/>
    <s v="DBK-CUS-500414"/>
    <x v="5"/>
    <x v="1"/>
    <x v="81"/>
    <n v="4"/>
    <x v="1"/>
    <x v="13"/>
    <n v="5"/>
    <x v="1"/>
    <n v="0"/>
    <x v="10"/>
    <x v="0"/>
  </r>
  <r>
    <s v="DBK-CMP-100415"/>
    <s v="DBK-CUS-500415"/>
    <x v="3"/>
    <x v="0"/>
    <x v="250"/>
    <n v="6"/>
    <x v="1"/>
    <x v="5"/>
    <n v="5"/>
    <x v="1"/>
    <n v="0"/>
    <x v="7"/>
    <x v="0"/>
  </r>
  <r>
    <s v="DBK-CMP-100416"/>
    <s v="DBK-CUS-500416"/>
    <x v="3"/>
    <x v="0"/>
    <x v="251"/>
    <n v="35"/>
    <x v="1"/>
    <x v="185"/>
    <n v="2"/>
    <x v="1"/>
    <n v="1"/>
    <x v="9"/>
    <x v="1"/>
  </r>
  <r>
    <s v="DBK-CMP-100417"/>
    <s v="DBK-CUS-500417"/>
    <x v="1"/>
    <x v="4"/>
    <x v="252"/>
    <n v="29"/>
    <x v="0"/>
    <x v="0"/>
    <m/>
    <x v="0"/>
    <s v=" "/>
    <x v="8"/>
    <x v="1"/>
  </r>
  <r>
    <s v="DBK-CMP-100418"/>
    <s v="DBK-CUS-500418"/>
    <x v="2"/>
    <x v="2"/>
    <x v="253"/>
    <n v="89"/>
    <x v="0"/>
    <x v="0"/>
    <m/>
    <x v="0"/>
    <s v=" "/>
    <x v="1"/>
    <x v="2"/>
  </r>
  <r>
    <s v="DBK-CMP-100419"/>
    <s v="DBK-CUS-500419"/>
    <x v="4"/>
    <x v="0"/>
    <x v="190"/>
    <n v="54"/>
    <x v="0"/>
    <x v="0"/>
    <m/>
    <x v="0"/>
    <s v=" "/>
    <x v="7"/>
    <x v="1"/>
  </r>
  <r>
    <s v="DBK-CMP-100420"/>
    <s v="DBK-CUS-500420"/>
    <x v="7"/>
    <x v="3"/>
    <x v="66"/>
    <n v="8"/>
    <x v="1"/>
    <x v="43"/>
    <n v="4"/>
    <x v="1"/>
    <n v="0"/>
    <x v="2"/>
    <x v="0"/>
  </r>
  <r>
    <s v="DBK-CMP-100421"/>
    <s v="DBK-CUS-500421"/>
    <x v="4"/>
    <x v="0"/>
    <x v="208"/>
    <n v="26"/>
    <x v="1"/>
    <x v="186"/>
    <n v="2"/>
    <x v="1"/>
    <n v="1"/>
    <x v="3"/>
    <x v="1"/>
  </r>
  <r>
    <s v="DBK-CMP-100422"/>
    <s v="DBK-CUS-500422"/>
    <x v="0"/>
    <x v="3"/>
    <x v="112"/>
    <n v="24"/>
    <x v="1"/>
    <x v="81"/>
    <n v="3"/>
    <x v="1"/>
    <n v="1"/>
    <x v="5"/>
    <x v="0"/>
  </r>
  <r>
    <s v="DBK-CMP-100423"/>
    <s v="DBK-CUS-500423"/>
    <x v="7"/>
    <x v="2"/>
    <x v="241"/>
    <n v="8"/>
    <x v="1"/>
    <x v="187"/>
    <n v="4"/>
    <x v="1"/>
    <n v="0"/>
    <x v="8"/>
    <x v="0"/>
  </r>
  <r>
    <s v="DBK-CMP-100424"/>
    <s v="DBK-CUS-500424"/>
    <x v="5"/>
    <x v="4"/>
    <x v="254"/>
    <n v="10"/>
    <x v="1"/>
    <x v="188"/>
    <n v="4"/>
    <x v="1"/>
    <n v="0"/>
    <x v="6"/>
    <x v="0"/>
  </r>
  <r>
    <s v="DBK-CMP-100425"/>
    <s v="DBK-CUS-500425"/>
    <x v="0"/>
    <x v="2"/>
    <x v="228"/>
    <n v="28"/>
    <x v="1"/>
    <x v="168"/>
    <n v="2"/>
    <x v="1"/>
    <n v="1"/>
    <x v="3"/>
    <x v="1"/>
  </r>
  <r>
    <s v="DBK-CMP-100426"/>
    <s v="DBK-CUS-500426"/>
    <x v="4"/>
    <x v="4"/>
    <x v="255"/>
    <n v="35"/>
    <x v="1"/>
    <x v="120"/>
    <n v="2"/>
    <x v="1"/>
    <n v="1"/>
    <x v="4"/>
    <x v="1"/>
  </r>
  <r>
    <s v="DBK-CMP-100427"/>
    <s v="DBK-CUS-500427"/>
    <x v="5"/>
    <x v="4"/>
    <x v="243"/>
    <n v="12"/>
    <x v="0"/>
    <x v="0"/>
    <m/>
    <x v="0"/>
    <s v=" "/>
    <x v="9"/>
    <x v="0"/>
  </r>
  <r>
    <s v="DBK-CMP-100428"/>
    <s v="DBK-CUS-500428"/>
    <x v="3"/>
    <x v="1"/>
    <x v="114"/>
    <n v="60"/>
    <x v="1"/>
    <x v="18"/>
    <n v="1"/>
    <x v="1"/>
    <n v="2"/>
    <x v="3"/>
    <x v="1"/>
  </r>
  <r>
    <s v="DBK-CMP-100429"/>
    <s v="DBK-CUS-500429"/>
    <x v="5"/>
    <x v="4"/>
    <x v="118"/>
    <n v="6"/>
    <x v="1"/>
    <x v="91"/>
    <n v="5"/>
    <x v="1"/>
    <n v="0"/>
    <x v="1"/>
    <x v="0"/>
  </r>
  <r>
    <s v="DBK-CMP-100430"/>
    <s v="DBK-CUS-500430"/>
    <x v="1"/>
    <x v="3"/>
    <x v="256"/>
    <n v="10"/>
    <x v="1"/>
    <x v="189"/>
    <n v="4"/>
    <x v="1"/>
    <n v="0"/>
    <x v="4"/>
    <x v="0"/>
  </r>
  <r>
    <s v="DBK-CMP-100431"/>
    <s v="DBK-CUS-500431"/>
    <x v="2"/>
    <x v="2"/>
    <x v="123"/>
    <n v="54"/>
    <x v="0"/>
    <x v="0"/>
    <m/>
    <x v="0"/>
    <s v=" "/>
    <x v="5"/>
    <x v="1"/>
  </r>
  <r>
    <s v="DBK-CMP-100432"/>
    <s v="DBK-CUS-500432"/>
    <x v="4"/>
    <x v="1"/>
    <x v="55"/>
    <n v="14"/>
    <x v="1"/>
    <x v="39"/>
    <n v="3"/>
    <x v="1"/>
    <n v="0"/>
    <x v="4"/>
    <x v="0"/>
  </r>
  <r>
    <s v="DBK-CMP-100433"/>
    <s v="DBK-CUS-500433"/>
    <x v="6"/>
    <x v="4"/>
    <x v="201"/>
    <n v="4"/>
    <x v="1"/>
    <x v="20"/>
    <n v="5"/>
    <x v="1"/>
    <n v="0"/>
    <x v="5"/>
    <x v="0"/>
  </r>
  <r>
    <s v="DBK-CMP-100434"/>
    <s v="DBK-CUS-500434"/>
    <x v="7"/>
    <x v="2"/>
    <x v="55"/>
    <n v="15"/>
    <x v="0"/>
    <x v="0"/>
    <m/>
    <x v="0"/>
    <s v=" "/>
    <x v="4"/>
    <x v="0"/>
  </r>
  <r>
    <s v="DBK-CMP-100435"/>
    <s v="DBK-CUS-500435"/>
    <x v="1"/>
    <x v="0"/>
    <x v="230"/>
    <n v="18"/>
    <x v="1"/>
    <x v="190"/>
    <n v="5"/>
    <x v="1"/>
    <n v="0"/>
    <x v="4"/>
    <x v="0"/>
  </r>
  <r>
    <s v="DBK-CMP-100436"/>
    <s v="DBK-CUS-500436"/>
    <x v="5"/>
    <x v="4"/>
    <x v="93"/>
    <n v="8"/>
    <x v="0"/>
    <x v="0"/>
    <m/>
    <x v="0"/>
    <s v=" "/>
    <x v="1"/>
    <x v="0"/>
  </r>
  <r>
    <s v="DBK-CMP-100437"/>
    <s v="DBK-CUS-500437"/>
    <x v="5"/>
    <x v="1"/>
    <x v="257"/>
    <n v="11"/>
    <x v="1"/>
    <x v="191"/>
    <n v="4"/>
    <x v="1"/>
    <n v="0"/>
    <x v="2"/>
    <x v="0"/>
  </r>
  <r>
    <s v="DBK-CMP-100438"/>
    <s v="DBK-CUS-500438"/>
    <x v="7"/>
    <x v="1"/>
    <x v="10"/>
    <n v="13"/>
    <x v="2"/>
    <x v="0"/>
    <m/>
    <x v="0"/>
    <s v=" "/>
    <x v="8"/>
    <x v="0"/>
  </r>
  <r>
    <s v="DBK-CMP-100439"/>
    <s v="DBK-CUS-500439"/>
    <x v="4"/>
    <x v="4"/>
    <x v="50"/>
    <n v="49"/>
    <x v="0"/>
    <x v="0"/>
    <m/>
    <x v="0"/>
    <s v=" "/>
    <x v="9"/>
    <x v="1"/>
  </r>
  <r>
    <s v="DBK-CMP-100440"/>
    <s v="DBK-CUS-500440"/>
    <x v="7"/>
    <x v="3"/>
    <x v="187"/>
    <n v="2"/>
    <x v="0"/>
    <x v="0"/>
    <m/>
    <x v="0"/>
    <s v=" "/>
    <x v="8"/>
    <x v="0"/>
  </r>
  <r>
    <s v="DBK-CMP-100441"/>
    <s v="DBK-CUS-500441"/>
    <x v="5"/>
    <x v="0"/>
    <x v="258"/>
    <n v="3"/>
    <x v="1"/>
    <x v="192"/>
    <n v="5"/>
    <x v="1"/>
    <n v="0"/>
    <x v="9"/>
    <x v="0"/>
  </r>
  <r>
    <s v="DBK-CMP-100442"/>
    <s v="DBK-CUS-500442"/>
    <x v="2"/>
    <x v="1"/>
    <x v="244"/>
    <n v="42"/>
    <x v="1"/>
    <x v="180"/>
    <n v="2"/>
    <x v="1"/>
    <n v="1"/>
    <x v="10"/>
    <x v="1"/>
  </r>
  <r>
    <s v="DBK-CMP-100443"/>
    <s v="DBK-CUS-500443"/>
    <x v="7"/>
    <x v="0"/>
    <x v="257"/>
    <n v="13"/>
    <x v="2"/>
    <x v="0"/>
    <m/>
    <x v="0"/>
    <s v=" "/>
    <x v="2"/>
    <x v="0"/>
  </r>
  <r>
    <s v="DBK-CMP-100444"/>
    <s v="DBK-CUS-500444"/>
    <x v="6"/>
    <x v="3"/>
    <x v="175"/>
    <n v="11"/>
    <x v="1"/>
    <x v="131"/>
    <n v="4"/>
    <x v="1"/>
    <n v="0"/>
    <x v="10"/>
    <x v="0"/>
  </r>
  <r>
    <s v="DBK-CMP-100445"/>
    <s v="DBK-CUS-500445"/>
    <x v="6"/>
    <x v="4"/>
    <x v="37"/>
    <n v="17"/>
    <x v="1"/>
    <x v="193"/>
    <n v="3"/>
    <x v="1"/>
    <n v="0"/>
    <x v="0"/>
    <x v="0"/>
  </r>
  <r>
    <s v="DBK-CMP-100446"/>
    <s v="DBK-CUS-500446"/>
    <x v="4"/>
    <x v="0"/>
    <x v="259"/>
    <n v="38"/>
    <x v="1"/>
    <x v="194"/>
    <n v="2"/>
    <x v="1"/>
    <n v="1"/>
    <x v="7"/>
    <x v="1"/>
  </r>
  <r>
    <s v="DBK-CMP-100447"/>
    <s v="DBK-CUS-500447"/>
    <x v="7"/>
    <x v="2"/>
    <x v="260"/>
    <n v="6"/>
    <x v="1"/>
    <x v="40"/>
    <n v="5"/>
    <x v="1"/>
    <n v="0"/>
    <x v="5"/>
    <x v="0"/>
  </r>
  <r>
    <s v="DBK-CMP-100448"/>
    <s v="DBK-CUS-500448"/>
    <x v="6"/>
    <x v="2"/>
    <x v="251"/>
    <n v="21"/>
    <x v="0"/>
    <x v="0"/>
    <m/>
    <x v="0"/>
    <s v=" "/>
    <x v="9"/>
    <x v="0"/>
  </r>
  <r>
    <s v="DBK-CMP-100449"/>
    <s v="DBK-CUS-500449"/>
    <x v="4"/>
    <x v="2"/>
    <x v="180"/>
    <n v="16"/>
    <x v="1"/>
    <x v="113"/>
    <n v="5"/>
    <x v="1"/>
    <n v="0"/>
    <x v="9"/>
    <x v="0"/>
  </r>
  <r>
    <s v="DBK-CMP-100450"/>
    <s v="DBK-CUS-500450"/>
    <x v="2"/>
    <x v="2"/>
    <x v="139"/>
    <n v="92"/>
    <x v="1"/>
    <x v="44"/>
    <n v="1"/>
    <x v="1"/>
    <n v="3"/>
    <x v="8"/>
    <x v="2"/>
  </r>
  <r>
    <s v="DBK-CMP-100451"/>
    <s v="DBK-CUS-500451"/>
    <x v="2"/>
    <x v="2"/>
    <x v="18"/>
    <n v="45"/>
    <x v="1"/>
    <x v="195"/>
    <n v="5"/>
    <x v="1"/>
    <n v="1"/>
    <x v="3"/>
    <x v="1"/>
  </r>
  <r>
    <s v="DBK-CMP-100452"/>
    <s v="DBK-CUS-500452"/>
    <x v="6"/>
    <x v="1"/>
    <x v="175"/>
    <n v="24"/>
    <x v="1"/>
    <x v="196"/>
    <n v="3"/>
    <x v="1"/>
    <n v="1"/>
    <x v="10"/>
    <x v="0"/>
  </r>
  <r>
    <s v="DBK-CMP-100453"/>
    <s v="DBK-CUS-500453"/>
    <x v="1"/>
    <x v="2"/>
    <x v="220"/>
    <n v="25"/>
    <x v="1"/>
    <x v="197"/>
    <n v="2"/>
    <x v="1"/>
    <n v="1"/>
    <x v="10"/>
    <x v="1"/>
  </r>
  <r>
    <s v="DBK-CMP-100454"/>
    <s v="DBK-CUS-500454"/>
    <x v="0"/>
    <x v="2"/>
    <x v="194"/>
    <n v="47"/>
    <x v="1"/>
    <x v="198"/>
    <n v="2"/>
    <x v="1"/>
    <n v="1"/>
    <x v="2"/>
    <x v="1"/>
  </r>
  <r>
    <s v="DBK-CMP-100455"/>
    <s v="DBK-CUS-500455"/>
    <x v="4"/>
    <x v="3"/>
    <x v="29"/>
    <n v="58"/>
    <x v="0"/>
    <x v="0"/>
    <m/>
    <x v="0"/>
    <s v=" "/>
    <x v="3"/>
    <x v="1"/>
  </r>
  <r>
    <s v="DBK-CMP-100456"/>
    <s v="DBK-CUS-500456"/>
    <x v="4"/>
    <x v="2"/>
    <x v="37"/>
    <n v="34"/>
    <x v="1"/>
    <x v="199"/>
    <n v="2"/>
    <x v="1"/>
    <n v="1"/>
    <x v="0"/>
    <x v="1"/>
  </r>
  <r>
    <s v="DBK-CMP-100457"/>
    <s v="DBK-CUS-500457"/>
    <x v="2"/>
    <x v="3"/>
    <x v="261"/>
    <n v="60"/>
    <x v="1"/>
    <x v="39"/>
    <n v="1"/>
    <x v="1"/>
    <n v="2"/>
    <x v="4"/>
    <x v="1"/>
  </r>
  <r>
    <s v="DBK-CMP-100458"/>
    <s v="DBK-CUS-500458"/>
    <x v="3"/>
    <x v="4"/>
    <x v="172"/>
    <n v="9"/>
    <x v="0"/>
    <x v="0"/>
    <m/>
    <x v="0"/>
    <s v=" "/>
    <x v="6"/>
    <x v="0"/>
  </r>
  <r>
    <s v="DBK-CMP-100459"/>
    <s v="DBK-CUS-500459"/>
    <x v="1"/>
    <x v="0"/>
    <x v="222"/>
    <n v="23"/>
    <x v="1"/>
    <x v="162"/>
    <n v="3"/>
    <x v="1"/>
    <n v="0"/>
    <x v="2"/>
    <x v="0"/>
  </r>
  <r>
    <s v="DBK-CMP-100460"/>
    <s v="DBK-CUS-500460"/>
    <x v="1"/>
    <x v="2"/>
    <x v="262"/>
    <n v="26"/>
    <x v="1"/>
    <x v="200"/>
    <n v="2"/>
    <x v="1"/>
    <n v="1"/>
    <x v="8"/>
    <x v="1"/>
  </r>
  <r>
    <s v="DBK-CMP-100461"/>
    <s v="DBK-CUS-500461"/>
    <x v="7"/>
    <x v="4"/>
    <x v="214"/>
    <n v="12"/>
    <x v="1"/>
    <x v="201"/>
    <n v="4"/>
    <x v="1"/>
    <n v="0"/>
    <x v="11"/>
    <x v="0"/>
  </r>
  <r>
    <s v="DBK-CMP-100462"/>
    <s v="DBK-CUS-500462"/>
    <x v="3"/>
    <x v="2"/>
    <x v="94"/>
    <n v="31"/>
    <x v="2"/>
    <x v="0"/>
    <m/>
    <x v="0"/>
    <s v=" "/>
    <x v="7"/>
    <x v="1"/>
  </r>
  <r>
    <s v="DBK-CMP-100463"/>
    <s v="DBK-CUS-500463"/>
    <x v="3"/>
    <x v="1"/>
    <x v="263"/>
    <n v="46"/>
    <x v="1"/>
    <x v="202"/>
    <n v="2"/>
    <x v="1"/>
    <n v="1"/>
    <x v="7"/>
    <x v="1"/>
  </r>
  <r>
    <s v="DBK-CMP-100464"/>
    <s v="DBK-CUS-500464"/>
    <x v="7"/>
    <x v="1"/>
    <x v="68"/>
    <n v="6"/>
    <x v="2"/>
    <x v="0"/>
    <m/>
    <x v="0"/>
    <s v=" "/>
    <x v="11"/>
    <x v="0"/>
  </r>
  <r>
    <s v="DBK-CMP-100465"/>
    <s v="DBK-CUS-500465"/>
    <x v="3"/>
    <x v="0"/>
    <x v="121"/>
    <n v="14"/>
    <x v="1"/>
    <x v="203"/>
    <n v="3"/>
    <x v="1"/>
    <n v="0"/>
    <x v="0"/>
    <x v="0"/>
  </r>
  <r>
    <s v="DBK-CMP-100466"/>
    <s v="DBK-CUS-500466"/>
    <x v="4"/>
    <x v="4"/>
    <x v="233"/>
    <n v="8"/>
    <x v="1"/>
    <x v="171"/>
    <n v="4"/>
    <x v="1"/>
    <n v="0"/>
    <x v="9"/>
    <x v="0"/>
  </r>
  <r>
    <s v="DBK-CMP-100467"/>
    <s v="DBK-CUS-500467"/>
    <x v="4"/>
    <x v="1"/>
    <x v="264"/>
    <n v="54"/>
    <x v="2"/>
    <x v="0"/>
    <m/>
    <x v="0"/>
    <s v=" "/>
    <x v="11"/>
    <x v="1"/>
  </r>
  <r>
    <s v="DBK-CMP-100468"/>
    <s v="DBK-CUS-500468"/>
    <x v="1"/>
    <x v="1"/>
    <x v="205"/>
    <n v="20"/>
    <x v="1"/>
    <x v="154"/>
    <n v="3"/>
    <x v="1"/>
    <n v="0"/>
    <x v="8"/>
    <x v="0"/>
  </r>
  <r>
    <s v="DBK-CMP-100469"/>
    <s v="DBK-CUS-500469"/>
    <x v="5"/>
    <x v="3"/>
    <x v="265"/>
    <n v="9"/>
    <x v="1"/>
    <x v="158"/>
    <n v="4"/>
    <x v="1"/>
    <n v="0"/>
    <x v="11"/>
    <x v="0"/>
  </r>
  <r>
    <s v="DBK-CMP-100470"/>
    <s v="DBK-CUS-500470"/>
    <x v="2"/>
    <x v="2"/>
    <x v="111"/>
    <n v="61"/>
    <x v="2"/>
    <x v="0"/>
    <m/>
    <x v="0"/>
    <s v=" "/>
    <x v="6"/>
    <x v="1"/>
  </r>
  <r>
    <s v="DBK-CMP-100471"/>
    <s v="DBK-CUS-500471"/>
    <x v="2"/>
    <x v="3"/>
    <x v="266"/>
    <n v="91"/>
    <x v="1"/>
    <x v="204"/>
    <n v="1"/>
    <x v="1"/>
    <n v="3"/>
    <x v="1"/>
    <x v="2"/>
  </r>
  <r>
    <s v="DBK-CMP-100472"/>
    <s v="DBK-CUS-500472"/>
    <x v="6"/>
    <x v="0"/>
    <x v="157"/>
    <n v="21"/>
    <x v="0"/>
    <x v="0"/>
    <m/>
    <x v="0"/>
    <s v=" "/>
    <x v="6"/>
    <x v="0"/>
  </r>
  <r>
    <s v="DBK-CMP-100473"/>
    <s v="DBK-CUS-500473"/>
    <x v="3"/>
    <x v="3"/>
    <x v="35"/>
    <n v="58"/>
    <x v="1"/>
    <x v="133"/>
    <n v="1"/>
    <x v="1"/>
    <n v="2"/>
    <x v="10"/>
    <x v="1"/>
  </r>
  <r>
    <s v="DBK-CMP-100474"/>
    <s v="DBK-CUS-500474"/>
    <x v="6"/>
    <x v="0"/>
    <x v="161"/>
    <n v="11"/>
    <x v="1"/>
    <x v="148"/>
    <n v="4"/>
    <x v="1"/>
    <n v="0"/>
    <x v="11"/>
    <x v="0"/>
  </r>
  <r>
    <s v="DBK-CMP-100475"/>
    <s v="DBK-CUS-500475"/>
    <x v="3"/>
    <x v="0"/>
    <x v="267"/>
    <n v="46"/>
    <x v="1"/>
    <x v="127"/>
    <n v="2"/>
    <x v="1"/>
    <n v="1"/>
    <x v="3"/>
    <x v="1"/>
  </r>
  <r>
    <s v="DBK-CMP-100476"/>
    <s v="DBK-CUS-500476"/>
    <x v="5"/>
    <x v="2"/>
    <x v="268"/>
    <n v="8"/>
    <x v="0"/>
    <x v="0"/>
    <m/>
    <x v="0"/>
    <s v=" "/>
    <x v="6"/>
    <x v="0"/>
  </r>
  <r>
    <s v="DBK-CMP-100477"/>
    <s v="DBK-CUS-500477"/>
    <x v="7"/>
    <x v="2"/>
    <x v="12"/>
    <n v="7"/>
    <x v="1"/>
    <x v="115"/>
    <n v="4"/>
    <x v="1"/>
    <n v="0"/>
    <x v="9"/>
    <x v="0"/>
  </r>
  <r>
    <s v="DBK-CMP-100478"/>
    <s v="DBK-CUS-500478"/>
    <x v="3"/>
    <x v="1"/>
    <x v="19"/>
    <n v="49"/>
    <x v="2"/>
    <x v="0"/>
    <m/>
    <x v="0"/>
    <s v=" "/>
    <x v="5"/>
    <x v="1"/>
  </r>
  <r>
    <s v="DBK-CMP-100479"/>
    <s v="DBK-CUS-500479"/>
    <x v="2"/>
    <x v="2"/>
    <x v="269"/>
    <n v="68"/>
    <x v="1"/>
    <x v="205"/>
    <n v="1"/>
    <x v="1"/>
    <n v="2"/>
    <x v="11"/>
    <x v="1"/>
  </r>
  <r>
    <s v="DBK-CMP-100480"/>
    <s v="DBK-CUS-500480"/>
    <x v="4"/>
    <x v="4"/>
    <x v="270"/>
    <n v="55"/>
    <x v="1"/>
    <x v="206"/>
    <n v="1"/>
    <x v="1"/>
    <n v="2"/>
    <x v="6"/>
    <x v="1"/>
  </r>
  <r>
    <s v="DBK-CMP-100481"/>
    <s v="DBK-CUS-500481"/>
    <x v="5"/>
    <x v="4"/>
    <x v="214"/>
    <n v="7"/>
    <x v="1"/>
    <x v="201"/>
    <n v="4"/>
    <x v="1"/>
    <n v="0"/>
    <x v="11"/>
    <x v="0"/>
  </r>
  <r>
    <s v="DBK-CMP-100482"/>
    <s v="DBK-CUS-500482"/>
    <x v="4"/>
    <x v="3"/>
    <x v="54"/>
    <n v="25"/>
    <x v="1"/>
    <x v="110"/>
    <n v="2"/>
    <x v="1"/>
    <n v="1"/>
    <x v="2"/>
    <x v="1"/>
  </r>
  <r>
    <s v="DBK-CMP-100483"/>
    <s v="DBK-CUS-500483"/>
    <x v="3"/>
    <x v="3"/>
    <x v="271"/>
    <n v="70"/>
    <x v="0"/>
    <x v="0"/>
    <m/>
    <x v="0"/>
    <s v=" "/>
    <x v="1"/>
    <x v="1"/>
  </r>
  <r>
    <s v="DBK-CMP-100484"/>
    <s v="DBK-CUS-500484"/>
    <x v="0"/>
    <x v="4"/>
    <x v="6"/>
    <n v="6"/>
    <x v="1"/>
    <x v="130"/>
    <n v="5"/>
    <x v="1"/>
    <n v="0"/>
    <x v="5"/>
    <x v="0"/>
  </r>
  <r>
    <s v="DBK-CMP-100485"/>
    <s v="DBK-CUS-500485"/>
    <x v="4"/>
    <x v="4"/>
    <x v="272"/>
    <n v="51"/>
    <x v="0"/>
    <x v="0"/>
    <m/>
    <x v="0"/>
    <s v=" "/>
    <x v="9"/>
    <x v="1"/>
  </r>
  <r>
    <s v="DBK-CMP-100486"/>
    <s v="DBK-CUS-500486"/>
    <x v="2"/>
    <x v="2"/>
    <x v="203"/>
    <n v="37"/>
    <x v="2"/>
    <x v="0"/>
    <m/>
    <x v="0"/>
    <s v=" "/>
    <x v="7"/>
    <x v="1"/>
  </r>
  <r>
    <s v="DBK-CMP-100487"/>
    <s v="DBK-CUS-500487"/>
    <x v="6"/>
    <x v="2"/>
    <x v="118"/>
    <n v="5"/>
    <x v="1"/>
    <x v="91"/>
    <n v="5"/>
    <x v="1"/>
    <n v="0"/>
    <x v="1"/>
    <x v="0"/>
  </r>
  <r>
    <s v="DBK-CMP-100488"/>
    <s v="DBK-CUS-500488"/>
    <x v="3"/>
    <x v="4"/>
    <x v="109"/>
    <n v="72"/>
    <x v="0"/>
    <x v="0"/>
    <m/>
    <x v="0"/>
    <s v=" "/>
    <x v="0"/>
    <x v="1"/>
  </r>
  <r>
    <s v="DBK-CMP-100489"/>
    <s v="DBK-CUS-500489"/>
    <x v="5"/>
    <x v="1"/>
    <x v="70"/>
    <n v="4"/>
    <x v="1"/>
    <x v="207"/>
    <n v="5"/>
    <x v="1"/>
    <n v="0"/>
    <x v="4"/>
    <x v="0"/>
  </r>
  <r>
    <s v="DBK-CMP-100490"/>
    <s v="DBK-CUS-500490"/>
    <x v="4"/>
    <x v="2"/>
    <x v="155"/>
    <n v="37"/>
    <x v="1"/>
    <x v="208"/>
    <n v="5"/>
    <x v="1"/>
    <n v="1"/>
    <x v="4"/>
    <x v="1"/>
  </r>
  <r>
    <s v="DBK-CMP-100491"/>
    <s v="DBK-CUS-500491"/>
    <x v="7"/>
    <x v="2"/>
    <x v="273"/>
    <n v="21"/>
    <x v="0"/>
    <x v="0"/>
    <m/>
    <x v="0"/>
    <s v=" "/>
    <x v="4"/>
    <x v="0"/>
  </r>
  <r>
    <s v="DBK-CMP-100492"/>
    <s v="DBK-CUS-500492"/>
    <x v="6"/>
    <x v="0"/>
    <x v="89"/>
    <n v="4"/>
    <x v="1"/>
    <x v="47"/>
    <n v="5"/>
    <x v="1"/>
    <n v="0"/>
    <x v="6"/>
    <x v="0"/>
  </r>
  <r>
    <s v="DBK-CMP-100493"/>
    <s v="DBK-CUS-500493"/>
    <x v="6"/>
    <x v="3"/>
    <x v="186"/>
    <n v="14"/>
    <x v="1"/>
    <x v="209"/>
    <n v="3"/>
    <x v="1"/>
    <n v="0"/>
    <x v="6"/>
    <x v="0"/>
  </r>
  <r>
    <s v="DBK-CMP-100494"/>
    <s v="DBK-CUS-500494"/>
    <x v="3"/>
    <x v="0"/>
    <x v="274"/>
    <n v="26"/>
    <x v="1"/>
    <x v="210"/>
    <n v="2"/>
    <x v="1"/>
    <n v="1"/>
    <x v="5"/>
    <x v="1"/>
  </r>
  <r>
    <s v="DBK-CMP-100495"/>
    <s v="DBK-CUS-500495"/>
    <x v="2"/>
    <x v="3"/>
    <x v="62"/>
    <n v="37"/>
    <x v="1"/>
    <x v="211"/>
    <n v="2"/>
    <x v="1"/>
    <n v="1"/>
    <x v="8"/>
    <x v="1"/>
  </r>
  <r>
    <s v="DBK-CMP-100496"/>
    <s v="DBK-CUS-500496"/>
    <x v="6"/>
    <x v="4"/>
    <x v="123"/>
    <n v="9"/>
    <x v="1"/>
    <x v="163"/>
    <n v="4"/>
    <x v="1"/>
    <n v="0"/>
    <x v="5"/>
    <x v="0"/>
  </r>
  <r>
    <s v="DBK-CMP-100497"/>
    <s v="DBK-CUS-500497"/>
    <x v="7"/>
    <x v="4"/>
    <x v="271"/>
    <n v="12"/>
    <x v="1"/>
    <x v="33"/>
    <n v="4"/>
    <x v="1"/>
    <n v="0"/>
    <x v="1"/>
    <x v="0"/>
  </r>
  <r>
    <s v="DBK-CMP-100498"/>
    <s v="DBK-CUS-500498"/>
    <x v="2"/>
    <x v="2"/>
    <x v="275"/>
    <n v="34"/>
    <x v="2"/>
    <x v="0"/>
    <m/>
    <x v="0"/>
    <s v=" "/>
    <x v="8"/>
    <x v="1"/>
  </r>
  <r>
    <s v="DBK-CMP-100499"/>
    <s v="DBK-CUS-500499"/>
    <x v="3"/>
    <x v="1"/>
    <x v="191"/>
    <n v="39"/>
    <x v="1"/>
    <x v="212"/>
    <n v="2"/>
    <x v="1"/>
    <n v="1"/>
    <x v="2"/>
    <x v="1"/>
  </r>
  <r>
    <s v="DBK-CMP-100500"/>
    <s v="DBK-CUS-500500"/>
    <x v="6"/>
    <x v="4"/>
    <x v="225"/>
    <n v="24"/>
    <x v="2"/>
    <x v="0"/>
    <m/>
    <x v="0"/>
    <s v=" "/>
    <x v="9"/>
    <x v="0"/>
  </r>
  <r>
    <s v="DBK-CMP-100501"/>
    <s v="DBK-CUS-500501"/>
    <x v="1"/>
    <x v="1"/>
    <x v="94"/>
    <n v="26"/>
    <x v="1"/>
    <x v="122"/>
    <n v="2"/>
    <x v="1"/>
    <n v="1"/>
    <x v="7"/>
    <x v="1"/>
  </r>
  <r>
    <s v="DBK-CMP-100502"/>
    <s v="DBK-CUS-500502"/>
    <x v="0"/>
    <x v="0"/>
    <x v="106"/>
    <n v="28"/>
    <x v="1"/>
    <x v="30"/>
    <n v="2"/>
    <x v="1"/>
    <n v="1"/>
    <x v="11"/>
    <x v="1"/>
  </r>
  <r>
    <s v="DBK-CMP-100503"/>
    <s v="DBK-CUS-500503"/>
    <x v="3"/>
    <x v="0"/>
    <x v="228"/>
    <n v="56"/>
    <x v="1"/>
    <x v="213"/>
    <n v="5"/>
    <x v="1"/>
    <n v="2"/>
    <x v="3"/>
    <x v="1"/>
  </r>
  <r>
    <s v="DBK-CMP-100504"/>
    <s v="DBK-CUS-500504"/>
    <x v="7"/>
    <x v="1"/>
    <x v="269"/>
    <n v="5"/>
    <x v="1"/>
    <x v="37"/>
    <n v="5"/>
    <x v="1"/>
    <n v="0"/>
    <x v="11"/>
    <x v="0"/>
  </r>
  <r>
    <s v="DBK-CMP-100505"/>
    <s v="DBK-CUS-500505"/>
    <x v="1"/>
    <x v="4"/>
    <x v="53"/>
    <n v="23"/>
    <x v="0"/>
    <x v="0"/>
    <m/>
    <x v="0"/>
    <s v=" "/>
    <x v="4"/>
    <x v="0"/>
  </r>
  <r>
    <s v="DBK-CMP-100506"/>
    <s v="DBK-CUS-500506"/>
    <x v="1"/>
    <x v="4"/>
    <x v="40"/>
    <n v="10"/>
    <x v="0"/>
    <x v="0"/>
    <m/>
    <x v="0"/>
    <s v=" "/>
    <x v="9"/>
    <x v="0"/>
  </r>
  <r>
    <s v="DBK-CMP-100507"/>
    <s v="DBK-CUS-500507"/>
    <x v="6"/>
    <x v="4"/>
    <x v="276"/>
    <n v="7"/>
    <x v="1"/>
    <x v="214"/>
    <n v="5"/>
    <x v="1"/>
    <n v="0"/>
    <x v="5"/>
    <x v="0"/>
  </r>
  <r>
    <s v="DBK-CMP-100508"/>
    <s v="DBK-CUS-500508"/>
    <x v="2"/>
    <x v="4"/>
    <x v="103"/>
    <n v="43"/>
    <x v="2"/>
    <x v="0"/>
    <m/>
    <x v="0"/>
    <s v=" "/>
    <x v="5"/>
    <x v="1"/>
  </r>
  <r>
    <s v="DBK-CMP-100509"/>
    <s v="DBK-CUS-500509"/>
    <x v="4"/>
    <x v="4"/>
    <x v="27"/>
    <n v="6"/>
    <x v="1"/>
    <x v="215"/>
    <n v="5"/>
    <x v="1"/>
    <n v="0"/>
    <x v="8"/>
    <x v="0"/>
  </r>
  <r>
    <s v="DBK-CMP-100510"/>
    <s v="DBK-CUS-500510"/>
    <x v="7"/>
    <x v="3"/>
    <x v="171"/>
    <n v="17"/>
    <x v="1"/>
    <x v="127"/>
    <n v="3"/>
    <x v="1"/>
    <n v="0"/>
    <x v="3"/>
    <x v="0"/>
  </r>
  <r>
    <s v="DBK-CMP-100511"/>
    <s v="DBK-CUS-500511"/>
    <x v="5"/>
    <x v="1"/>
    <x v="191"/>
    <n v="10"/>
    <x v="1"/>
    <x v="140"/>
    <n v="4"/>
    <x v="1"/>
    <n v="0"/>
    <x v="2"/>
    <x v="0"/>
  </r>
  <r>
    <s v="DBK-CMP-100512"/>
    <s v="DBK-CUS-500512"/>
    <x v="0"/>
    <x v="4"/>
    <x v="252"/>
    <n v="36"/>
    <x v="1"/>
    <x v="216"/>
    <n v="5"/>
    <x v="1"/>
    <n v="1"/>
    <x v="8"/>
    <x v="1"/>
  </r>
  <r>
    <s v="DBK-CMP-100513"/>
    <s v="DBK-CUS-500513"/>
    <x v="1"/>
    <x v="0"/>
    <x v="148"/>
    <n v="36"/>
    <x v="2"/>
    <x v="0"/>
    <m/>
    <x v="0"/>
    <s v=" "/>
    <x v="3"/>
    <x v="1"/>
  </r>
  <r>
    <s v="DBK-CMP-100514"/>
    <s v="DBK-CUS-500514"/>
    <x v="5"/>
    <x v="1"/>
    <x v="255"/>
    <n v="7"/>
    <x v="0"/>
    <x v="0"/>
    <m/>
    <x v="0"/>
    <s v=" "/>
    <x v="4"/>
    <x v="0"/>
  </r>
  <r>
    <s v="DBK-CMP-100515"/>
    <s v="DBK-CUS-500515"/>
    <x v="1"/>
    <x v="0"/>
    <x v="91"/>
    <n v="15"/>
    <x v="1"/>
    <x v="62"/>
    <n v="3"/>
    <x v="1"/>
    <n v="0"/>
    <x v="0"/>
    <x v="0"/>
  </r>
  <r>
    <s v="DBK-CMP-100516"/>
    <s v="DBK-CUS-500516"/>
    <x v="5"/>
    <x v="0"/>
    <x v="148"/>
    <n v="6"/>
    <x v="1"/>
    <x v="217"/>
    <n v="5"/>
    <x v="1"/>
    <n v="0"/>
    <x v="3"/>
    <x v="0"/>
  </r>
  <r>
    <s v="DBK-CMP-100517"/>
    <s v="DBK-CUS-500517"/>
    <x v="3"/>
    <x v="3"/>
    <x v="277"/>
    <n v="28"/>
    <x v="1"/>
    <x v="34"/>
    <n v="5"/>
    <x v="1"/>
    <n v="1"/>
    <x v="2"/>
    <x v="1"/>
  </r>
  <r>
    <s v="DBK-CMP-100518"/>
    <s v="DBK-CUS-500518"/>
    <x v="7"/>
    <x v="1"/>
    <x v="256"/>
    <n v="8"/>
    <x v="1"/>
    <x v="189"/>
    <n v="5"/>
    <x v="1"/>
    <n v="0"/>
    <x v="4"/>
    <x v="0"/>
  </r>
  <r>
    <s v="DBK-CMP-100519"/>
    <s v="DBK-CUS-500519"/>
    <x v="6"/>
    <x v="1"/>
    <x v="227"/>
    <n v="12"/>
    <x v="1"/>
    <x v="4"/>
    <n v="4"/>
    <x v="1"/>
    <n v="0"/>
    <x v="6"/>
    <x v="0"/>
  </r>
  <r>
    <s v="DBK-CMP-100520"/>
    <s v="DBK-CUS-500520"/>
    <x v="1"/>
    <x v="3"/>
    <x v="277"/>
    <n v="11"/>
    <x v="1"/>
    <x v="218"/>
    <n v="4"/>
    <x v="1"/>
    <n v="0"/>
    <x v="2"/>
    <x v="0"/>
  </r>
  <r>
    <s v="DBK-CMP-100521"/>
    <s v="DBK-CUS-500521"/>
    <x v="4"/>
    <x v="0"/>
    <x v="113"/>
    <n v="70"/>
    <x v="2"/>
    <x v="0"/>
    <m/>
    <x v="0"/>
    <s v=" "/>
    <x v="4"/>
    <x v="1"/>
  </r>
  <r>
    <s v="DBK-CMP-100522"/>
    <s v="DBK-CUS-500522"/>
    <x v="6"/>
    <x v="1"/>
    <x v="21"/>
    <n v="2"/>
    <x v="0"/>
    <x v="0"/>
    <m/>
    <x v="0"/>
    <s v=" "/>
    <x v="10"/>
    <x v="0"/>
  </r>
  <r>
    <s v="DBK-CMP-100523"/>
    <s v="DBK-CUS-500523"/>
    <x v="0"/>
    <x v="0"/>
    <x v="207"/>
    <n v="39"/>
    <x v="0"/>
    <x v="0"/>
    <m/>
    <x v="0"/>
    <s v=" "/>
    <x v="4"/>
    <x v="1"/>
  </r>
  <r>
    <s v="DBK-CMP-100524"/>
    <s v="DBK-CUS-500524"/>
    <x v="2"/>
    <x v="3"/>
    <x v="3"/>
    <n v="37"/>
    <x v="1"/>
    <x v="80"/>
    <n v="2"/>
    <x v="1"/>
    <n v="1"/>
    <x v="2"/>
    <x v="1"/>
  </r>
  <r>
    <s v="DBK-CMP-100525"/>
    <s v="DBK-CUS-500525"/>
    <x v="0"/>
    <x v="3"/>
    <x v="255"/>
    <n v="44"/>
    <x v="1"/>
    <x v="120"/>
    <n v="2"/>
    <x v="1"/>
    <n v="1"/>
    <x v="4"/>
    <x v="1"/>
  </r>
  <r>
    <s v="DBK-CMP-100526"/>
    <s v="DBK-CUS-500526"/>
    <x v="6"/>
    <x v="2"/>
    <x v="163"/>
    <n v="10"/>
    <x v="1"/>
    <x v="219"/>
    <n v="4"/>
    <x v="1"/>
    <n v="0"/>
    <x v="8"/>
    <x v="0"/>
  </r>
  <r>
    <s v="DBK-CMP-100527"/>
    <s v="DBK-CUS-500527"/>
    <x v="5"/>
    <x v="0"/>
    <x v="181"/>
    <n v="8"/>
    <x v="1"/>
    <x v="135"/>
    <n v="4"/>
    <x v="1"/>
    <n v="0"/>
    <x v="1"/>
    <x v="0"/>
  </r>
  <r>
    <s v="DBK-CMP-100528"/>
    <s v="DBK-CUS-500528"/>
    <x v="2"/>
    <x v="1"/>
    <x v="221"/>
    <n v="84"/>
    <x v="1"/>
    <x v="38"/>
    <n v="1"/>
    <x v="1"/>
    <n v="3"/>
    <x v="11"/>
    <x v="2"/>
  </r>
  <r>
    <s v="DBK-CMP-100529"/>
    <s v="DBK-CUS-500529"/>
    <x v="6"/>
    <x v="0"/>
    <x v="1"/>
    <n v="16"/>
    <x v="2"/>
    <x v="0"/>
    <m/>
    <x v="0"/>
    <s v=" "/>
    <x v="0"/>
    <x v="0"/>
  </r>
  <r>
    <s v="DBK-CMP-100530"/>
    <s v="DBK-CUS-500530"/>
    <x v="4"/>
    <x v="0"/>
    <x v="278"/>
    <n v="68"/>
    <x v="1"/>
    <x v="52"/>
    <n v="1"/>
    <x v="1"/>
    <n v="2"/>
    <x v="11"/>
    <x v="1"/>
  </r>
  <r>
    <s v="DBK-CMP-100531"/>
    <s v="DBK-CUS-500531"/>
    <x v="3"/>
    <x v="2"/>
    <x v="36"/>
    <n v="48"/>
    <x v="1"/>
    <x v="220"/>
    <n v="2"/>
    <x v="1"/>
    <n v="2"/>
    <x v="5"/>
    <x v="1"/>
  </r>
  <r>
    <s v="DBK-CMP-100532"/>
    <s v="DBK-CUS-500532"/>
    <x v="2"/>
    <x v="3"/>
    <x v="218"/>
    <n v="76"/>
    <x v="1"/>
    <x v="146"/>
    <n v="5"/>
    <x v="1"/>
    <n v="3"/>
    <x v="0"/>
    <x v="2"/>
  </r>
  <r>
    <s v="DBK-CMP-100533"/>
    <s v="DBK-CUS-500533"/>
    <x v="0"/>
    <x v="0"/>
    <x v="204"/>
    <n v="18"/>
    <x v="0"/>
    <x v="0"/>
    <m/>
    <x v="0"/>
    <s v=" "/>
    <x v="5"/>
    <x v="0"/>
  </r>
  <r>
    <s v="DBK-CMP-100534"/>
    <s v="DBK-CUS-500534"/>
    <x v="2"/>
    <x v="2"/>
    <x v="63"/>
    <n v="49"/>
    <x v="1"/>
    <x v="221"/>
    <n v="1"/>
    <x v="1"/>
    <n v="2"/>
    <x v="10"/>
    <x v="1"/>
  </r>
  <r>
    <s v="DBK-CMP-100535"/>
    <s v="DBK-CUS-500535"/>
    <x v="6"/>
    <x v="4"/>
    <x v="7"/>
    <n v="19"/>
    <x v="1"/>
    <x v="118"/>
    <n v="3"/>
    <x v="1"/>
    <n v="0"/>
    <x v="6"/>
    <x v="0"/>
  </r>
  <r>
    <s v="DBK-CMP-100536"/>
    <s v="DBK-CUS-500536"/>
    <x v="2"/>
    <x v="2"/>
    <x v="279"/>
    <n v="79"/>
    <x v="1"/>
    <x v="12"/>
    <n v="1"/>
    <x v="1"/>
    <n v="3"/>
    <x v="5"/>
    <x v="2"/>
  </r>
  <r>
    <s v="DBK-CMP-100537"/>
    <s v="DBK-CUS-500537"/>
    <x v="5"/>
    <x v="0"/>
    <x v="254"/>
    <n v="9"/>
    <x v="1"/>
    <x v="188"/>
    <n v="5"/>
    <x v="1"/>
    <n v="0"/>
    <x v="6"/>
    <x v="0"/>
  </r>
  <r>
    <s v="DBK-CMP-100538"/>
    <s v="DBK-CUS-500538"/>
    <x v="5"/>
    <x v="4"/>
    <x v="49"/>
    <n v="6"/>
    <x v="1"/>
    <x v="222"/>
    <n v="5"/>
    <x v="1"/>
    <n v="0"/>
    <x v="7"/>
    <x v="0"/>
  </r>
  <r>
    <s v="DBK-CMP-100539"/>
    <s v="DBK-CUS-500539"/>
    <x v="1"/>
    <x v="1"/>
    <x v="66"/>
    <n v="8"/>
    <x v="1"/>
    <x v="43"/>
    <n v="4"/>
    <x v="1"/>
    <n v="0"/>
    <x v="2"/>
    <x v="0"/>
  </r>
  <r>
    <s v="DBK-CMP-100540"/>
    <s v="DBK-CUS-500540"/>
    <x v="2"/>
    <x v="3"/>
    <x v="280"/>
    <n v="89"/>
    <x v="0"/>
    <x v="0"/>
    <m/>
    <x v="0"/>
    <s v=" "/>
    <x v="4"/>
    <x v="2"/>
  </r>
  <r>
    <s v="DBK-CMP-100541"/>
    <s v="DBK-CUS-500541"/>
    <x v="3"/>
    <x v="0"/>
    <x v="69"/>
    <n v="15"/>
    <x v="2"/>
    <x v="0"/>
    <m/>
    <x v="0"/>
    <s v=" "/>
    <x v="6"/>
    <x v="0"/>
  </r>
  <r>
    <s v="DBK-CMP-100542"/>
    <s v="DBK-CUS-500542"/>
    <x v="2"/>
    <x v="1"/>
    <x v="119"/>
    <n v="30"/>
    <x v="0"/>
    <x v="0"/>
    <m/>
    <x v="0"/>
    <s v=" "/>
    <x v="7"/>
    <x v="1"/>
  </r>
  <r>
    <s v="DBK-CMP-100543"/>
    <s v="DBK-CUS-500543"/>
    <x v="1"/>
    <x v="3"/>
    <x v="186"/>
    <n v="32"/>
    <x v="2"/>
    <x v="0"/>
    <m/>
    <x v="0"/>
    <s v=" "/>
    <x v="6"/>
    <x v="1"/>
  </r>
  <r>
    <s v="DBK-CMP-100544"/>
    <s v="DBK-CUS-500544"/>
    <x v="0"/>
    <x v="1"/>
    <x v="281"/>
    <n v="43"/>
    <x v="1"/>
    <x v="223"/>
    <n v="5"/>
    <x v="1"/>
    <n v="1"/>
    <x v="5"/>
    <x v="1"/>
  </r>
  <r>
    <s v="DBK-CMP-100545"/>
    <s v="DBK-CUS-500545"/>
    <x v="0"/>
    <x v="3"/>
    <x v="148"/>
    <n v="40"/>
    <x v="0"/>
    <x v="0"/>
    <m/>
    <x v="0"/>
    <s v=" "/>
    <x v="3"/>
    <x v="1"/>
  </r>
  <r>
    <s v="DBK-CMP-100546"/>
    <s v="DBK-CUS-500546"/>
    <x v="6"/>
    <x v="0"/>
    <x v="106"/>
    <n v="7"/>
    <x v="1"/>
    <x v="224"/>
    <n v="4"/>
    <x v="1"/>
    <n v="0"/>
    <x v="11"/>
    <x v="0"/>
  </r>
  <r>
    <s v="DBK-CMP-100547"/>
    <s v="DBK-CUS-500547"/>
    <x v="3"/>
    <x v="1"/>
    <x v="146"/>
    <n v="43"/>
    <x v="0"/>
    <x v="0"/>
    <m/>
    <x v="0"/>
    <s v=" "/>
    <x v="9"/>
    <x v="1"/>
  </r>
  <r>
    <s v="DBK-CMP-100548"/>
    <s v="DBK-CUS-500548"/>
    <x v="5"/>
    <x v="3"/>
    <x v="43"/>
    <n v="5"/>
    <x v="1"/>
    <x v="225"/>
    <n v="5"/>
    <x v="1"/>
    <n v="0"/>
    <x v="11"/>
    <x v="0"/>
  </r>
  <r>
    <s v="DBK-CMP-100549"/>
    <s v="DBK-CUS-500549"/>
    <x v="3"/>
    <x v="2"/>
    <x v="110"/>
    <n v="22"/>
    <x v="1"/>
    <x v="226"/>
    <n v="3"/>
    <x v="1"/>
    <n v="0"/>
    <x v="1"/>
    <x v="0"/>
  </r>
  <r>
    <s v="DBK-CMP-100550"/>
    <s v="DBK-CUS-500550"/>
    <x v="2"/>
    <x v="0"/>
    <x v="282"/>
    <n v="33"/>
    <x v="1"/>
    <x v="188"/>
    <n v="2"/>
    <x v="1"/>
    <n v="1"/>
    <x v="6"/>
    <x v="1"/>
  </r>
  <r>
    <s v="DBK-CMP-100551"/>
    <s v="DBK-CUS-500551"/>
    <x v="4"/>
    <x v="1"/>
    <x v="186"/>
    <n v="48"/>
    <x v="1"/>
    <x v="63"/>
    <n v="2"/>
    <x v="1"/>
    <n v="2"/>
    <x v="6"/>
    <x v="1"/>
  </r>
  <r>
    <s v="DBK-CMP-100552"/>
    <s v="DBK-CUS-500552"/>
    <x v="6"/>
    <x v="2"/>
    <x v="123"/>
    <n v="14"/>
    <x v="2"/>
    <x v="0"/>
    <m/>
    <x v="0"/>
    <s v=" "/>
    <x v="5"/>
    <x v="0"/>
  </r>
  <r>
    <s v="DBK-CMP-100553"/>
    <s v="DBK-CUS-500553"/>
    <x v="4"/>
    <x v="4"/>
    <x v="24"/>
    <n v="72"/>
    <x v="2"/>
    <x v="0"/>
    <m/>
    <x v="0"/>
    <s v=" "/>
    <x v="1"/>
    <x v="1"/>
  </r>
  <r>
    <s v="DBK-CMP-100554"/>
    <s v="DBK-CUS-500554"/>
    <x v="0"/>
    <x v="1"/>
    <x v="206"/>
    <n v="5"/>
    <x v="1"/>
    <x v="208"/>
    <n v="5"/>
    <x v="1"/>
    <n v="0"/>
    <x v="4"/>
    <x v="0"/>
  </r>
  <r>
    <s v="DBK-CMP-100555"/>
    <s v="DBK-CUS-500555"/>
    <x v="3"/>
    <x v="2"/>
    <x v="142"/>
    <n v="30"/>
    <x v="0"/>
    <x v="0"/>
    <m/>
    <x v="0"/>
    <s v=" "/>
    <x v="9"/>
    <x v="1"/>
  </r>
  <r>
    <s v="DBK-CMP-100556"/>
    <s v="DBK-CUS-500556"/>
    <x v="3"/>
    <x v="0"/>
    <x v="89"/>
    <n v="71"/>
    <x v="1"/>
    <x v="4"/>
    <n v="1"/>
    <x v="1"/>
    <n v="2"/>
    <x v="6"/>
    <x v="1"/>
  </r>
  <r>
    <s v="DBK-CMP-100557"/>
    <s v="DBK-CUS-500557"/>
    <x v="0"/>
    <x v="2"/>
    <x v="283"/>
    <n v="27"/>
    <x v="1"/>
    <x v="227"/>
    <n v="2"/>
    <x v="1"/>
    <n v="1"/>
    <x v="10"/>
    <x v="1"/>
  </r>
  <r>
    <s v="DBK-CMP-100558"/>
    <s v="DBK-CUS-500558"/>
    <x v="5"/>
    <x v="3"/>
    <x v="22"/>
    <n v="8"/>
    <x v="0"/>
    <x v="0"/>
    <m/>
    <x v="0"/>
    <s v=" "/>
    <x v="8"/>
    <x v="0"/>
  </r>
  <r>
    <s v="DBK-CMP-100559"/>
    <s v="DBK-CUS-500559"/>
    <x v="4"/>
    <x v="1"/>
    <x v="284"/>
    <n v="44"/>
    <x v="1"/>
    <x v="137"/>
    <n v="2"/>
    <x v="1"/>
    <n v="1"/>
    <x v="8"/>
    <x v="1"/>
  </r>
  <r>
    <s v="DBK-CMP-100560"/>
    <s v="DBK-CUS-500560"/>
    <x v="0"/>
    <x v="2"/>
    <x v="285"/>
    <n v="32"/>
    <x v="0"/>
    <x v="0"/>
    <m/>
    <x v="0"/>
    <s v=" "/>
    <x v="7"/>
    <x v="1"/>
  </r>
  <r>
    <s v="DBK-CMP-100561"/>
    <s v="DBK-CUS-500561"/>
    <x v="4"/>
    <x v="3"/>
    <x v="229"/>
    <n v="12"/>
    <x v="1"/>
    <x v="228"/>
    <n v="4"/>
    <x v="1"/>
    <n v="0"/>
    <x v="1"/>
    <x v="0"/>
  </r>
  <r>
    <s v="DBK-CMP-100562"/>
    <s v="DBK-CUS-500562"/>
    <x v="1"/>
    <x v="2"/>
    <x v="0"/>
    <n v="6"/>
    <x v="0"/>
    <x v="0"/>
    <m/>
    <x v="0"/>
    <s v=" "/>
    <x v="0"/>
    <x v="0"/>
  </r>
  <r>
    <s v="DBK-CMP-100563"/>
    <s v="DBK-CUS-500563"/>
    <x v="6"/>
    <x v="3"/>
    <x v="50"/>
    <n v="16"/>
    <x v="1"/>
    <x v="229"/>
    <n v="5"/>
    <x v="1"/>
    <n v="0"/>
    <x v="9"/>
    <x v="0"/>
  </r>
  <r>
    <s v="DBK-CMP-100564"/>
    <s v="DBK-CUS-500564"/>
    <x v="5"/>
    <x v="0"/>
    <x v="185"/>
    <n v="4"/>
    <x v="2"/>
    <x v="0"/>
    <m/>
    <x v="0"/>
    <s v=" "/>
    <x v="2"/>
    <x v="0"/>
  </r>
  <r>
    <s v="DBK-CMP-100565"/>
    <s v="DBK-CUS-500565"/>
    <x v="2"/>
    <x v="4"/>
    <x v="89"/>
    <n v="77"/>
    <x v="0"/>
    <x v="0"/>
    <m/>
    <x v="0"/>
    <s v=" "/>
    <x v="6"/>
    <x v="2"/>
  </r>
  <r>
    <s v="DBK-CMP-100566"/>
    <s v="DBK-CUS-500566"/>
    <x v="7"/>
    <x v="2"/>
    <x v="133"/>
    <n v="8"/>
    <x v="1"/>
    <x v="101"/>
    <n v="5"/>
    <x v="1"/>
    <n v="0"/>
    <x v="1"/>
    <x v="0"/>
  </r>
  <r>
    <s v="DBK-CMP-100567"/>
    <s v="DBK-CUS-500567"/>
    <x v="3"/>
    <x v="2"/>
    <x v="286"/>
    <n v="66"/>
    <x v="1"/>
    <x v="147"/>
    <n v="5"/>
    <x v="1"/>
    <n v="2"/>
    <x v="5"/>
    <x v="1"/>
  </r>
  <r>
    <s v="DBK-CMP-100568"/>
    <s v="DBK-CUS-500568"/>
    <x v="2"/>
    <x v="2"/>
    <x v="65"/>
    <n v="74"/>
    <x v="1"/>
    <x v="230"/>
    <n v="1"/>
    <x v="1"/>
    <n v="3"/>
    <x v="3"/>
    <x v="2"/>
  </r>
  <r>
    <s v="DBK-CMP-100569"/>
    <s v="DBK-CUS-500569"/>
    <x v="3"/>
    <x v="0"/>
    <x v="202"/>
    <n v="61"/>
    <x v="0"/>
    <x v="0"/>
    <m/>
    <x v="0"/>
    <s v=" "/>
    <x v="3"/>
    <x v="1"/>
  </r>
  <r>
    <s v="DBK-CMP-100570"/>
    <s v="DBK-CUS-500570"/>
    <x v="1"/>
    <x v="4"/>
    <x v="287"/>
    <n v="34"/>
    <x v="2"/>
    <x v="0"/>
    <m/>
    <x v="0"/>
    <s v=" "/>
    <x v="11"/>
    <x v="1"/>
  </r>
  <r>
    <s v="DBK-CMP-100571"/>
    <s v="DBK-CUS-500571"/>
    <x v="1"/>
    <x v="1"/>
    <x v="131"/>
    <n v="25"/>
    <x v="1"/>
    <x v="231"/>
    <n v="2"/>
    <x v="1"/>
    <n v="1"/>
    <x v="5"/>
    <x v="1"/>
  </r>
  <r>
    <s v="DBK-CMP-100572"/>
    <s v="DBK-CUS-500572"/>
    <x v="1"/>
    <x v="1"/>
    <x v="78"/>
    <n v="25"/>
    <x v="1"/>
    <x v="163"/>
    <n v="2"/>
    <x v="1"/>
    <n v="1"/>
    <x v="5"/>
    <x v="1"/>
  </r>
  <r>
    <s v="DBK-CMP-100573"/>
    <s v="DBK-CUS-500573"/>
    <x v="7"/>
    <x v="2"/>
    <x v="85"/>
    <n v="17"/>
    <x v="1"/>
    <x v="56"/>
    <n v="3"/>
    <x v="1"/>
    <n v="0"/>
    <x v="0"/>
    <x v="0"/>
  </r>
  <r>
    <s v="DBK-CMP-100574"/>
    <s v="DBK-CUS-500574"/>
    <x v="5"/>
    <x v="1"/>
    <x v="288"/>
    <n v="10"/>
    <x v="1"/>
    <x v="232"/>
    <n v="4"/>
    <x v="1"/>
    <n v="0"/>
    <x v="11"/>
    <x v="0"/>
  </r>
  <r>
    <s v="DBK-CMP-100575"/>
    <s v="DBK-CUS-500575"/>
    <x v="1"/>
    <x v="2"/>
    <x v="234"/>
    <n v="31"/>
    <x v="1"/>
    <x v="184"/>
    <n v="2"/>
    <x v="1"/>
    <n v="1"/>
    <x v="6"/>
    <x v="1"/>
  </r>
  <r>
    <s v="DBK-CMP-100576"/>
    <s v="DBK-CUS-500576"/>
    <x v="3"/>
    <x v="1"/>
    <x v="109"/>
    <n v="34"/>
    <x v="1"/>
    <x v="233"/>
    <n v="2"/>
    <x v="1"/>
    <n v="1"/>
    <x v="0"/>
    <x v="1"/>
  </r>
  <r>
    <s v="DBK-CMP-100577"/>
    <s v="DBK-CUS-500577"/>
    <x v="7"/>
    <x v="4"/>
    <x v="67"/>
    <n v="23"/>
    <x v="2"/>
    <x v="0"/>
    <m/>
    <x v="0"/>
    <s v=" "/>
    <x v="8"/>
    <x v="0"/>
  </r>
  <r>
    <s v="DBK-CMP-100578"/>
    <s v="DBK-CUS-500578"/>
    <x v="3"/>
    <x v="3"/>
    <x v="4"/>
    <n v="31"/>
    <x v="2"/>
    <x v="0"/>
    <m/>
    <x v="0"/>
    <s v=" "/>
    <x v="3"/>
    <x v="1"/>
  </r>
  <r>
    <s v="DBK-CMP-100579"/>
    <s v="DBK-CUS-500579"/>
    <x v="0"/>
    <x v="4"/>
    <x v="235"/>
    <n v="47"/>
    <x v="0"/>
    <x v="0"/>
    <m/>
    <x v="0"/>
    <s v=" "/>
    <x v="6"/>
    <x v="1"/>
  </r>
  <r>
    <s v="DBK-CMP-100580"/>
    <s v="DBK-CUS-500580"/>
    <x v="3"/>
    <x v="0"/>
    <x v="167"/>
    <n v="24"/>
    <x v="1"/>
    <x v="234"/>
    <n v="3"/>
    <x v="1"/>
    <n v="1"/>
    <x v="8"/>
    <x v="0"/>
  </r>
  <r>
    <s v="DBK-CMP-100581"/>
    <s v="DBK-CUS-500581"/>
    <x v="1"/>
    <x v="3"/>
    <x v="246"/>
    <n v="7"/>
    <x v="1"/>
    <x v="204"/>
    <n v="5"/>
    <x v="1"/>
    <n v="0"/>
    <x v="1"/>
    <x v="0"/>
  </r>
  <r>
    <s v="DBK-CMP-100582"/>
    <s v="DBK-CUS-500582"/>
    <x v="1"/>
    <x v="3"/>
    <x v="56"/>
    <n v="19"/>
    <x v="0"/>
    <x v="0"/>
    <m/>
    <x v="0"/>
    <s v=" "/>
    <x v="7"/>
    <x v="0"/>
  </r>
  <r>
    <s v="DBK-CMP-100583"/>
    <s v="DBK-CUS-500583"/>
    <x v="6"/>
    <x v="4"/>
    <x v="17"/>
    <n v="8"/>
    <x v="0"/>
    <x v="0"/>
    <m/>
    <x v="0"/>
    <s v=" "/>
    <x v="1"/>
    <x v="0"/>
  </r>
  <r>
    <s v="DBK-CMP-100584"/>
    <s v="DBK-CUS-500584"/>
    <x v="4"/>
    <x v="2"/>
    <x v="174"/>
    <n v="37"/>
    <x v="1"/>
    <x v="235"/>
    <n v="2"/>
    <x v="1"/>
    <n v="1"/>
    <x v="0"/>
    <x v="1"/>
  </r>
  <r>
    <s v="DBK-CMP-100585"/>
    <s v="DBK-CUS-500585"/>
    <x v="0"/>
    <x v="0"/>
    <x v="86"/>
    <n v="48"/>
    <x v="1"/>
    <x v="148"/>
    <n v="2"/>
    <x v="1"/>
    <n v="2"/>
    <x v="11"/>
    <x v="1"/>
  </r>
  <r>
    <s v="DBK-CMP-100586"/>
    <s v="DBK-CUS-500586"/>
    <x v="1"/>
    <x v="2"/>
    <x v="114"/>
    <n v="14"/>
    <x v="1"/>
    <x v="11"/>
    <n v="3"/>
    <x v="1"/>
    <n v="0"/>
    <x v="3"/>
    <x v="0"/>
  </r>
  <r>
    <s v="DBK-CMP-100587"/>
    <s v="DBK-CUS-500587"/>
    <x v="2"/>
    <x v="1"/>
    <x v="29"/>
    <n v="92"/>
    <x v="1"/>
    <x v="105"/>
    <n v="1"/>
    <x v="1"/>
    <n v="3"/>
    <x v="3"/>
    <x v="2"/>
  </r>
  <r>
    <s v="DBK-CMP-100588"/>
    <s v="DBK-CUS-500588"/>
    <x v="2"/>
    <x v="3"/>
    <x v="231"/>
    <n v="71"/>
    <x v="0"/>
    <x v="0"/>
    <m/>
    <x v="0"/>
    <s v=" "/>
    <x v="8"/>
    <x v="1"/>
  </r>
  <r>
    <s v="DBK-CMP-100589"/>
    <s v="DBK-CUS-500589"/>
    <x v="3"/>
    <x v="4"/>
    <x v="289"/>
    <n v="18"/>
    <x v="2"/>
    <x v="0"/>
    <m/>
    <x v="0"/>
    <s v=" "/>
    <x v="8"/>
    <x v="0"/>
  </r>
  <r>
    <s v="DBK-CMP-100590"/>
    <s v="DBK-CUS-500590"/>
    <x v="5"/>
    <x v="0"/>
    <x v="132"/>
    <n v="10"/>
    <x v="1"/>
    <x v="100"/>
    <n v="4"/>
    <x v="1"/>
    <n v="0"/>
    <x v="6"/>
    <x v="0"/>
  </r>
  <r>
    <s v="DBK-CMP-100591"/>
    <s v="DBK-CUS-500591"/>
    <x v="2"/>
    <x v="3"/>
    <x v="251"/>
    <n v="48"/>
    <x v="0"/>
    <x v="0"/>
    <m/>
    <x v="0"/>
    <s v=" "/>
    <x v="9"/>
    <x v="1"/>
  </r>
  <r>
    <s v="DBK-CMP-100592"/>
    <s v="DBK-CUS-500592"/>
    <x v="4"/>
    <x v="1"/>
    <x v="173"/>
    <n v="12"/>
    <x v="1"/>
    <x v="128"/>
    <n v="5"/>
    <x v="1"/>
    <n v="0"/>
    <x v="0"/>
    <x v="0"/>
  </r>
  <r>
    <s v="DBK-CMP-100593"/>
    <s v="DBK-CUS-500593"/>
    <x v="5"/>
    <x v="0"/>
    <x v="14"/>
    <n v="5"/>
    <x v="2"/>
    <x v="0"/>
    <m/>
    <x v="0"/>
    <s v=" "/>
    <x v="7"/>
    <x v="0"/>
  </r>
  <r>
    <s v="DBK-CMP-100594"/>
    <s v="DBK-CUS-500594"/>
    <x v="1"/>
    <x v="2"/>
    <x v="202"/>
    <n v="22"/>
    <x v="1"/>
    <x v="186"/>
    <n v="3"/>
    <x v="1"/>
    <n v="0"/>
    <x v="3"/>
    <x v="0"/>
  </r>
  <r>
    <s v="DBK-CMP-100595"/>
    <s v="DBK-CUS-500595"/>
    <x v="1"/>
    <x v="0"/>
    <x v="214"/>
    <n v="17"/>
    <x v="1"/>
    <x v="201"/>
    <n v="3"/>
    <x v="1"/>
    <n v="0"/>
    <x v="11"/>
    <x v="0"/>
  </r>
  <r>
    <s v="DBK-CMP-100596"/>
    <s v="DBK-CUS-500596"/>
    <x v="0"/>
    <x v="4"/>
    <x v="188"/>
    <n v="30"/>
    <x v="0"/>
    <x v="0"/>
    <m/>
    <x v="0"/>
    <s v=" "/>
    <x v="2"/>
    <x v="1"/>
  </r>
  <r>
    <s v="DBK-CMP-100597"/>
    <s v="DBK-CUS-500597"/>
    <x v="4"/>
    <x v="1"/>
    <x v="30"/>
    <n v="45"/>
    <x v="1"/>
    <x v="236"/>
    <n v="5"/>
    <x v="1"/>
    <n v="1"/>
    <x v="9"/>
    <x v="1"/>
  </r>
  <r>
    <s v="DBK-CMP-100598"/>
    <s v="DBK-CUS-500598"/>
    <x v="7"/>
    <x v="2"/>
    <x v="238"/>
    <n v="19"/>
    <x v="1"/>
    <x v="237"/>
    <n v="3"/>
    <x v="1"/>
    <n v="0"/>
    <x v="11"/>
    <x v="0"/>
  </r>
  <r>
    <s v="DBK-CMP-100599"/>
    <s v="DBK-CUS-500599"/>
    <x v="5"/>
    <x v="3"/>
    <x v="47"/>
    <n v="5"/>
    <x v="1"/>
    <x v="152"/>
    <n v="5"/>
    <x v="1"/>
    <n v="0"/>
    <x v="6"/>
    <x v="0"/>
  </r>
  <r>
    <s v="DBK-CMP-100600"/>
    <s v="DBK-CUS-500600"/>
    <x v="4"/>
    <x v="3"/>
    <x v="25"/>
    <n v="15"/>
    <x v="1"/>
    <x v="16"/>
    <n v="3"/>
    <x v="1"/>
    <n v="0"/>
    <x v="8"/>
    <x v="0"/>
  </r>
  <r>
    <s v="DBK-CMP-100601"/>
    <s v="DBK-CUS-500601"/>
    <x v="1"/>
    <x v="2"/>
    <x v="84"/>
    <n v="30"/>
    <x v="2"/>
    <x v="0"/>
    <m/>
    <x v="0"/>
    <s v=" "/>
    <x v="1"/>
    <x v="1"/>
  </r>
  <r>
    <s v="DBK-CMP-100602"/>
    <s v="DBK-CUS-500602"/>
    <x v="5"/>
    <x v="4"/>
    <x v="290"/>
    <n v="3"/>
    <x v="1"/>
    <x v="238"/>
    <n v="5"/>
    <x v="1"/>
    <n v="0"/>
    <x v="1"/>
    <x v="0"/>
  </r>
  <r>
    <s v="DBK-CMP-100603"/>
    <s v="DBK-CUS-500603"/>
    <x v="6"/>
    <x v="3"/>
    <x v="3"/>
    <n v="23"/>
    <x v="1"/>
    <x v="3"/>
    <n v="3"/>
    <x v="1"/>
    <n v="0"/>
    <x v="2"/>
    <x v="0"/>
  </r>
  <r>
    <s v="DBK-CMP-100604"/>
    <s v="DBK-CUS-500604"/>
    <x v="6"/>
    <x v="2"/>
    <x v="246"/>
    <n v="8"/>
    <x v="1"/>
    <x v="204"/>
    <n v="4"/>
    <x v="1"/>
    <n v="0"/>
    <x v="1"/>
    <x v="0"/>
  </r>
  <r>
    <s v="DBK-CMP-100605"/>
    <s v="DBK-CUS-500605"/>
    <x v="4"/>
    <x v="1"/>
    <x v="289"/>
    <n v="47"/>
    <x v="1"/>
    <x v="104"/>
    <n v="2"/>
    <x v="1"/>
    <n v="1"/>
    <x v="8"/>
    <x v="1"/>
  </r>
  <r>
    <s v="DBK-CMP-100606"/>
    <s v="DBK-CUS-500606"/>
    <x v="6"/>
    <x v="3"/>
    <x v="63"/>
    <n v="24"/>
    <x v="1"/>
    <x v="239"/>
    <n v="3"/>
    <x v="1"/>
    <n v="1"/>
    <x v="10"/>
    <x v="0"/>
  </r>
  <r>
    <s v="DBK-CMP-100607"/>
    <s v="DBK-CUS-500607"/>
    <x v="6"/>
    <x v="2"/>
    <x v="134"/>
    <n v="4"/>
    <x v="1"/>
    <x v="102"/>
    <n v="5"/>
    <x v="1"/>
    <n v="0"/>
    <x v="6"/>
    <x v="0"/>
  </r>
  <r>
    <s v="DBK-CMP-100608"/>
    <s v="DBK-CUS-500608"/>
    <x v="2"/>
    <x v="0"/>
    <x v="156"/>
    <n v="61"/>
    <x v="1"/>
    <x v="35"/>
    <n v="1"/>
    <x v="1"/>
    <n v="2"/>
    <x v="7"/>
    <x v="1"/>
  </r>
  <r>
    <s v="DBK-CMP-100609"/>
    <s v="DBK-CUS-500609"/>
    <x v="1"/>
    <x v="4"/>
    <x v="140"/>
    <n v="5"/>
    <x v="1"/>
    <x v="110"/>
    <n v="5"/>
    <x v="1"/>
    <n v="0"/>
    <x v="2"/>
    <x v="0"/>
  </r>
  <r>
    <s v="DBK-CMP-100610"/>
    <s v="DBK-CUS-500610"/>
    <x v="0"/>
    <x v="2"/>
    <x v="62"/>
    <n v="38"/>
    <x v="1"/>
    <x v="211"/>
    <n v="5"/>
    <x v="1"/>
    <n v="1"/>
    <x v="8"/>
    <x v="1"/>
  </r>
  <r>
    <s v="DBK-CMP-100611"/>
    <s v="DBK-CUS-500611"/>
    <x v="0"/>
    <x v="3"/>
    <x v="267"/>
    <n v="45"/>
    <x v="1"/>
    <x v="127"/>
    <n v="2"/>
    <x v="1"/>
    <n v="1"/>
    <x v="3"/>
    <x v="1"/>
  </r>
  <r>
    <s v="DBK-CMP-100612"/>
    <s v="DBK-CUS-500612"/>
    <x v="2"/>
    <x v="4"/>
    <x v="291"/>
    <n v="90"/>
    <x v="2"/>
    <x v="0"/>
    <m/>
    <x v="0"/>
    <s v=" "/>
    <x v="3"/>
    <x v="2"/>
  </r>
  <r>
    <s v="DBK-CMP-100613"/>
    <s v="DBK-CUS-500613"/>
    <x v="5"/>
    <x v="4"/>
    <x v="132"/>
    <n v="11"/>
    <x v="1"/>
    <x v="100"/>
    <n v="4"/>
    <x v="1"/>
    <n v="0"/>
    <x v="6"/>
    <x v="0"/>
  </r>
  <r>
    <s v="DBK-CMP-100614"/>
    <s v="DBK-CUS-500614"/>
    <x v="6"/>
    <x v="3"/>
    <x v="135"/>
    <n v="18"/>
    <x v="2"/>
    <x v="0"/>
    <m/>
    <x v="0"/>
    <s v=" "/>
    <x v="8"/>
    <x v="0"/>
  </r>
  <r>
    <s v="DBK-CMP-100615"/>
    <s v="DBK-CUS-500615"/>
    <x v="4"/>
    <x v="0"/>
    <x v="132"/>
    <n v="36"/>
    <x v="1"/>
    <x v="240"/>
    <n v="2"/>
    <x v="1"/>
    <n v="1"/>
    <x v="6"/>
    <x v="1"/>
  </r>
  <r>
    <s v="DBK-CMP-100616"/>
    <s v="DBK-CUS-500616"/>
    <x v="6"/>
    <x v="0"/>
    <x v="225"/>
    <n v="14"/>
    <x v="1"/>
    <x v="166"/>
    <n v="3"/>
    <x v="1"/>
    <n v="0"/>
    <x v="9"/>
    <x v="0"/>
  </r>
  <r>
    <s v="DBK-CMP-100617"/>
    <s v="DBK-CUS-500617"/>
    <x v="7"/>
    <x v="3"/>
    <x v="292"/>
    <n v="18"/>
    <x v="0"/>
    <x v="0"/>
    <m/>
    <x v="0"/>
    <s v=" "/>
    <x v="7"/>
    <x v="0"/>
  </r>
  <r>
    <s v="DBK-CMP-100618"/>
    <s v="DBK-CUS-500618"/>
    <x v="3"/>
    <x v="0"/>
    <x v="62"/>
    <n v="65"/>
    <x v="1"/>
    <x v="137"/>
    <n v="5"/>
    <x v="1"/>
    <n v="2"/>
    <x v="8"/>
    <x v="1"/>
  </r>
  <r>
    <s v="DBK-CMP-100619"/>
    <s v="DBK-CUS-500619"/>
    <x v="2"/>
    <x v="0"/>
    <x v="293"/>
    <n v="28"/>
    <x v="1"/>
    <x v="146"/>
    <n v="2"/>
    <x v="1"/>
    <n v="1"/>
    <x v="0"/>
    <x v="1"/>
  </r>
  <r>
    <s v="DBK-CMP-100620"/>
    <s v="DBK-CUS-500620"/>
    <x v="3"/>
    <x v="4"/>
    <x v="150"/>
    <n v="48"/>
    <x v="2"/>
    <x v="0"/>
    <m/>
    <x v="0"/>
    <s v=" "/>
    <x v="10"/>
    <x v="1"/>
  </r>
  <r>
    <s v="DBK-CMP-100621"/>
    <s v="DBK-CUS-500621"/>
    <x v="1"/>
    <x v="3"/>
    <x v="142"/>
    <n v="16"/>
    <x v="0"/>
    <x v="0"/>
    <m/>
    <x v="0"/>
    <s v=" "/>
    <x v="9"/>
    <x v="0"/>
  </r>
  <r>
    <s v="DBK-CMP-100622"/>
    <s v="DBK-CUS-500622"/>
    <x v="3"/>
    <x v="0"/>
    <x v="44"/>
    <n v="43"/>
    <x v="0"/>
    <x v="0"/>
    <m/>
    <x v="0"/>
    <s v=" "/>
    <x v="10"/>
    <x v="1"/>
  </r>
  <r>
    <s v="DBK-CMP-100623"/>
    <s v="DBK-CUS-500623"/>
    <x v="0"/>
    <x v="0"/>
    <x v="155"/>
    <n v="38"/>
    <x v="1"/>
    <x v="208"/>
    <n v="2"/>
    <x v="1"/>
    <n v="1"/>
    <x v="4"/>
    <x v="1"/>
  </r>
  <r>
    <s v="DBK-CMP-100624"/>
    <s v="DBK-CUS-500624"/>
    <x v="4"/>
    <x v="1"/>
    <x v="31"/>
    <n v="23"/>
    <x v="1"/>
    <x v="164"/>
    <n v="3"/>
    <x v="1"/>
    <n v="0"/>
    <x v="3"/>
    <x v="0"/>
  </r>
  <r>
    <s v="DBK-CMP-100625"/>
    <s v="DBK-CUS-500625"/>
    <x v="2"/>
    <x v="4"/>
    <x v="93"/>
    <n v="55"/>
    <x v="1"/>
    <x v="241"/>
    <n v="1"/>
    <x v="1"/>
    <n v="2"/>
    <x v="1"/>
    <x v="1"/>
  </r>
  <r>
    <s v="DBK-CMP-100626"/>
    <s v="DBK-CUS-500626"/>
    <x v="6"/>
    <x v="0"/>
    <x v="8"/>
    <n v="22"/>
    <x v="2"/>
    <x v="0"/>
    <m/>
    <x v="0"/>
    <s v=" "/>
    <x v="7"/>
    <x v="0"/>
  </r>
  <r>
    <s v="DBK-CMP-100627"/>
    <s v="DBK-CUS-500627"/>
    <x v="3"/>
    <x v="1"/>
    <x v="231"/>
    <n v="31"/>
    <x v="1"/>
    <x v="44"/>
    <n v="2"/>
    <x v="1"/>
    <n v="1"/>
    <x v="8"/>
    <x v="1"/>
  </r>
  <r>
    <s v="DBK-CMP-100628"/>
    <s v="DBK-CUS-500628"/>
    <x v="6"/>
    <x v="4"/>
    <x v="273"/>
    <n v="23"/>
    <x v="0"/>
    <x v="0"/>
    <m/>
    <x v="0"/>
    <s v=" "/>
    <x v="4"/>
    <x v="0"/>
  </r>
  <r>
    <s v="DBK-CMP-100629"/>
    <s v="DBK-CUS-500629"/>
    <x v="2"/>
    <x v="0"/>
    <x v="100"/>
    <n v="36"/>
    <x v="0"/>
    <x v="0"/>
    <m/>
    <x v="0"/>
    <s v=" "/>
    <x v="0"/>
    <x v="1"/>
  </r>
  <r>
    <s v="DBK-CMP-100630"/>
    <s v="DBK-CUS-500630"/>
    <x v="5"/>
    <x v="3"/>
    <x v="294"/>
    <n v="10"/>
    <x v="0"/>
    <x v="0"/>
    <m/>
    <x v="0"/>
    <s v=" "/>
    <x v="4"/>
    <x v="0"/>
  </r>
  <r>
    <s v="DBK-CMP-100631"/>
    <s v="DBK-CUS-500631"/>
    <x v="7"/>
    <x v="0"/>
    <x v="104"/>
    <n v="18"/>
    <x v="1"/>
    <x v="242"/>
    <n v="3"/>
    <x v="1"/>
    <n v="0"/>
    <x v="3"/>
    <x v="0"/>
  </r>
  <r>
    <s v="DBK-CMP-100632"/>
    <s v="DBK-CUS-500632"/>
    <x v="3"/>
    <x v="1"/>
    <x v="187"/>
    <n v="11"/>
    <x v="1"/>
    <x v="139"/>
    <n v="4"/>
    <x v="1"/>
    <n v="0"/>
    <x v="8"/>
    <x v="0"/>
  </r>
  <r>
    <s v="DBK-CMP-100633"/>
    <s v="DBK-CUS-500633"/>
    <x v="5"/>
    <x v="4"/>
    <x v="295"/>
    <n v="10"/>
    <x v="1"/>
    <x v="243"/>
    <n v="4"/>
    <x v="1"/>
    <n v="0"/>
    <x v="8"/>
    <x v="0"/>
  </r>
  <r>
    <s v="DBK-CMP-100634"/>
    <s v="DBK-CUS-500634"/>
    <x v="6"/>
    <x v="1"/>
    <x v="110"/>
    <n v="17"/>
    <x v="1"/>
    <x v="226"/>
    <n v="3"/>
    <x v="1"/>
    <n v="0"/>
    <x v="1"/>
    <x v="0"/>
  </r>
  <r>
    <s v="DBK-CMP-100635"/>
    <s v="DBK-CUS-500635"/>
    <x v="0"/>
    <x v="0"/>
    <x v="90"/>
    <n v="25"/>
    <x v="1"/>
    <x v="150"/>
    <n v="2"/>
    <x v="1"/>
    <n v="1"/>
    <x v="2"/>
    <x v="1"/>
  </r>
  <r>
    <s v="DBK-CMP-100636"/>
    <s v="DBK-CUS-500636"/>
    <x v="2"/>
    <x v="2"/>
    <x v="187"/>
    <n v="43"/>
    <x v="1"/>
    <x v="103"/>
    <n v="5"/>
    <x v="1"/>
    <n v="1"/>
    <x v="8"/>
    <x v="1"/>
  </r>
  <r>
    <s v="DBK-CMP-100637"/>
    <s v="DBK-CUS-500637"/>
    <x v="7"/>
    <x v="0"/>
    <x v="14"/>
    <n v="18"/>
    <x v="2"/>
    <x v="0"/>
    <m/>
    <x v="0"/>
    <s v=" "/>
    <x v="7"/>
    <x v="0"/>
  </r>
  <r>
    <s v="DBK-CMP-100638"/>
    <s v="DBK-CUS-500638"/>
    <x v="4"/>
    <x v="3"/>
    <x v="109"/>
    <n v="47"/>
    <x v="2"/>
    <x v="0"/>
    <m/>
    <x v="0"/>
    <s v=" "/>
    <x v="0"/>
    <x v="1"/>
  </r>
  <r>
    <s v="DBK-CMP-100639"/>
    <s v="DBK-CUS-500639"/>
    <x v="0"/>
    <x v="2"/>
    <x v="33"/>
    <n v="32"/>
    <x v="1"/>
    <x v="244"/>
    <n v="2"/>
    <x v="1"/>
    <n v="1"/>
    <x v="8"/>
    <x v="1"/>
  </r>
  <r>
    <s v="DBK-CMP-100640"/>
    <s v="DBK-CUS-500640"/>
    <x v="4"/>
    <x v="3"/>
    <x v="149"/>
    <n v="20"/>
    <x v="0"/>
    <x v="0"/>
    <m/>
    <x v="0"/>
    <s v=" "/>
    <x v="3"/>
    <x v="0"/>
  </r>
  <r>
    <s v="DBK-CMP-100641"/>
    <s v="DBK-CUS-500641"/>
    <x v="4"/>
    <x v="1"/>
    <x v="296"/>
    <n v="38"/>
    <x v="1"/>
    <x v="245"/>
    <n v="2"/>
    <x v="1"/>
    <n v="1"/>
    <x v="2"/>
    <x v="1"/>
  </r>
  <r>
    <s v="DBK-CMP-100642"/>
    <s v="DBK-CUS-500642"/>
    <x v="6"/>
    <x v="4"/>
    <x v="297"/>
    <n v="16"/>
    <x v="0"/>
    <x v="0"/>
    <m/>
    <x v="0"/>
    <s v=" "/>
    <x v="8"/>
    <x v="0"/>
  </r>
  <r>
    <s v="DBK-CMP-100643"/>
    <s v="DBK-CUS-500643"/>
    <x v="5"/>
    <x v="1"/>
    <x v="53"/>
    <n v="8"/>
    <x v="1"/>
    <x v="72"/>
    <n v="4"/>
    <x v="1"/>
    <n v="0"/>
    <x v="4"/>
    <x v="0"/>
  </r>
  <r>
    <s v="DBK-CMP-100644"/>
    <s v="DBK-CUS-500644"/>
    <x v="4"/>
    <x v="1"/>
    <x v="59"/>
    <n v="33"/>
    <x v="1"/>
    <x v="205"/>
    <n v="2"/>
    <x v="1"/>
    <n v="1"/>
    <x v="11"/>
    <x v="1"/>
  </r>
  <r>
    <s v="DBK-CMP-100645"/>
    <s v="DBK-CUS-500645"/>
    <x v="6"/>
    <x v="2"/>
    <x v="298"/>
    <n v="24"/>
    <x v="0"/>
    <x v="0"/>
    <m/>
    <x v="0"/>
    <s v=" "/>
    <x v="11"/>
    <x v="0"/>
  </r>
  <r>
    <s v="DBK-CMP-100646"/>
    <s v="DBK-CUS-500646"/>
    <x v="3"/>
    <x v="1"/>
    <x v="40"/>
    <n v="24"/>
    <x v="0"/>
    <x v="0"/>
    <m/>
    <x v="0"/>
    <s v=" "/>
    <x v="9"/>
    <x v="0"/>
  </r>
  <r>
    <s v="DBK-CMP-100647"/>
    <s v="DBK-CUS-500647"/>
    <x v="6"/>
    <x v="2"/>
    <x v="56"/>
    <n v="9"/>
    <x v="2"/>
    <x v="0"/>
    <m/>
    <x v="0"/>
    <s v=" "/>
    <x v="7"/>
    <x v="0"/>
  </r>
  <r>
    <s v="DBK-CMP-100648"/>
    <s v="DBK-CUS-500648"/>
    <x v="4"/>
    <x v="3"/>
    <x v="176"/>
    <n v="10"/>
    <x v="1"/>
    <x v="246"/>
    <n v="4"/>
    <x v="1"/>
    <n v="0"/>
    <x v="9"/>
    <x v="0"/>
  </r>
  <r>
    <s v="DBK-CMP-100649"/>
    <s v="DBK-CUS-500649"/>
    <x v="7"/>
    <x v="3"/>
    <x v="41"/>
    <n v="12"/>
    <x v="1"/>
    <x v="28"/>
    <n v="4"/>
    <x v="1"/>
    <n v="0"/>
    <x v="4"/>
    <x v="0"/>
  </r>
  <r>
    <s v="DBK-CMP-100650"/>
    <s v="DBK-CUS-500650"/>
    <x v="1"/>
    <x v="0"/>
    <x v="205"/>
    <n v="16"/>
    <x v="1"/>
    <x v="154"/>
    <n v="5"/>
    <x v="1"/>
    <n v="0"/>
    <x v="8"/>
    <x v="0"/>
  </r>
  <r>
    <s v="DBK-CMP-100651"/>
    <s v="DBK-CUS-500651"/>
    <x v="6"/>
    <x v="0"/>
    <x v="234"/>
    <n v="19"/>
    <x v="1"/>
    <x v="63"/>
    <n v="3"/>
    <x v="1"/>
    <n v="0"/>
    <x v="6"/>
    <x v="0"/>
  </r>
  <r>
    <s v="DBK-CMP-100652"/>
    <s v="DBK-CUS-500652"/>
    <x v="1"/>
    <x v="3"/>
    <x v="299"/>
    <n v="36"/>
    <x v="2"/>
    <x v="0"/>
    <m/>
    <x v="0"/>
    <s v=" "/>
    <x v="2"/>
    <x v="1"/>
  </r>
  <r>
    <s v="DBK-CMP-100653"/>
    <s v="DBK-CUS-500653"/>
    <x v="5"/>
    <x v="3"/>
    <x v="20"/>
    <n v="9"/>
    <x v="2"/>
    <x v="0"/>
    <m/>
    <x v="0"/>
    <s v=" "/>
    <x v="10"/>
    <x v="0"/>
  </r>
  <r>
    <s v="DBK-CMP-100654"/>
    <s v="DBK-CUS-500654"/>
    <x v="2"/>
    <x v="1"/>
    <x v="247"/>
    <n v="83"/>
    <x v="1"/>
    <x v="206"/>
    <n v="1"/>
    <x v="1"/>
    <n v="3"/>
    <x v="6"/>
    <x v="2"/>
  </r>
  <r>
    <s v="DBK-CMP-100655"/>
    <s v="DBK-CUS-500655"/>
    <x v="7"/>
    <x v="2"/>
    <x v="300"/>
    <n v="7"/>
    <x v="2"/>
    <x v="0"/>
    <m/>
    <x v="0"/>
    <s v=" "/>
    <x v="7"/>
    <x v="0"/>
  </r>
  <r>
    <s v="DBK-CMP-100656"/>
    <s v="DBK-CUS-500656"/>
    <x v="0"/>
    <x v="4"/>
    <x v="204"/>
    <n v="17"/>
    <x v="2"/>
    <x v="0"/>
    <m/>
    <x v="0"/>
    <s v=" "/>
    <x v="5"/>
    <x v="0"/>
  </r>
  <r>
    <s v="DBK-CMP-100657"/>
    <s v="DBK-CUS-500657"/>
    <x v="4"/>
    <x v="4"/>
    <x v="209"/>
    <n v="32"/>
    <x v="1"/>
    <x v="247"/>
    <n v="2"/>
    <x v="1"/>
    <n v="1"/>
    <x v="1"/>
    <x v="1"/>
  </r>
  <r>
    <s v="DBK-CMP-100658"/>
    <s v="DBK-CUS-500658"/>
    <x v="5"/>
    <x v="0"/>
    <x v="301"/>
    <n v="7"/>
    <x v="0"/>
    <x v="0"/>
    <m/>
    <x v="0"/>
    <s v=" "/>
    <x v="3"/>
    <x v="0"/>
  </r>
  <r>
    <s v="DBK-CMP-100659"/>
    <s v="DBK-CUS-500659"/>
    <x v="7"/>
    <x v="2"/>
    <x v="270"/>
    <n v="21"/>
    <x v="0"/>
    <x v="0"/>
    <m/>
    <x v="0"/>
    <s v=" "/>
    <x v="6"/>
    <x v="0"/>
  </r>
  <r>
    <s v="DBK-CMP-100660"/>
    <s v="DBK-CUS-500660"/>
    <x v="1"/>
    <x v="3"/>
    <x v="43"/>
    <n v="19"/>
    <x v="0"/>
    <x v="0"/>
    <m/>
    <x v="0"/>
    <s v=" "/>
    <x v="11"/>
    <x v="0"/>
  </r>
  <r>
    <s v="DBK-CMP-100661"/>
    <s v="DBK-CUS-500661"/>
    <x v="5"/>
    <x v="1"/>
    <x v="264"/>
    <n v="9"/>
    <x v="2"/>
    <x v="0"/>
    <m/>
    <x v="0"/>
    <s v=" "/>
    <x v="11"/>
    <x v="0"/>
  </r>
  <r>
    <s v="DBK-CMP-100662"/>
    <s v="DBK-CUS-500662"/>
    <x v="7"/>
    <x v="3"/>
    <x v="167"/>
    <n v="19"/>
    <x v="1"/>
    <x v="248"/>
    <n v="3"/>
    <x v="1"/>
    <n v="0"/>
    <x v="8"/>
    <x v="0"/>
  </r>
  <r>
    <s v="DBK-CMP-100663"/>
    <s v="DBK-CUS-500663"/>
    <x v="3"/>
    <x v="0"/>
    <x v="302"/>
    <n v="12"/>
    <x v="0"/>
    <x v="0"/>
    <m/>
    <x v="0"/>
    <s v=" "/>
    <x v="5"/>
    <x v="0"/>
  </r>
  <r>
    <s v="DBK-CMP-100664"/>
    <s v="DBK-CUS-500664"/>
    <x v="2"/>
    <x v="2"/>
    <x v="130"/>
    <n v="44"/>
    <x v="2"/>
    <x v="0"/>
    <m/>
    <x v="0"/>
    <s v=" "/>
    <x v="4"/>
    <x v="1"/>
  </r>
  <r>
    <s v="DBK-CMP-100665"/>
    <s v="DBK-CUS-500665"/>
    <x v="5"/>
    <x v="1"/>
    <x v="57"/>
    <n v="1"/>
    <x v="0"/>
    <x v="0"/>
    <m/>
    <x v="0"/>
    <s v=" "/>
    <x v="4"/>
    <x v="0"/>
  </r>
  <r>
    <s v="DBK-CMP-100666"/>
    <s v="DBK-CUS-500666"/>
    <x v="1"/>
    <x v="4"/>
    <x v="176"/>
    <n v="25"/>
    <x v="1"/>
    <x v="113"/>
    <n v="2"/>
    <x v="1"/>
    <n v="1"/>
    <x v="9"/>
    <x v="1"/>
  </r>
  <r>
    <s v="DBK-CMP-100667"/>
    <s v="DBK-CUS-500667"/>
    <x v="4"/>
    <x v="3"/>
    <x v="303"/>
    <n v="64"/>
    <x v="1"/>
    <x v="249"/>
    <n v="1"/>
    <x v="1"/>
    <n v="2"/>
    <x v="0"/>
    <x v="1"/>
  </r>
  <r>
    <s v="DBK-CMP-100668"/>
    <s v="DBK-CUS-500668"/>
    <x v="4"/>
    <x v="4"/>
    <x v="136"/>
    <n v="35"/>
    <x v="1"/>
    <x v="243"/>
    <n v="2"/>
    <x v="1"/>
    <n v="1"/>
    <x v="8"/>
    <x v="1"/>
  </r>
  <r>
    <s v="DBK-CMP-100669"/>
    <s v="DBK-CUS-500669"/>
    <x v="7"/>
    <x v="3"/>
    <x v="113"/>
    <n v="7"/>
    <x v="1"/>
    <x v="250"/>
    <n v="4"/>
    <x v="1"/>
    <n v="0"/>
    <x v="4"/>
    <x v="0"/>
  </r>
  <r>
    <s v="DBK-CMP-100670"/>
    <s v="DBK-CUS-500670"/>
    <x v="2"/>
    <x v="0"/>
    <x v="288"/>
    <n v="47"/>
    <x v="1"/>
    <x v="225"/>
    <n v="2"/>
    <x v="1"/>
    <n v="1"/>
    <x v="11"/>
    <x v="1"/>
  </r>
  <r>
    <s v="DBK-CMP-100671"/>
    <s v="DBK-CUS-500671"/>
    <x v="6"/>
    <x v="1"/>
    <x v="43"/>
    <n v="14"/>
    <x v="1"/>
    <x v="225"/>
    <n v="3"/>
    <x v="1"/>
    <n v="0"/>
    <x v="11"/>
    <x v="0"/>
  </r>
  <r>
    <s v="DBK-CMP-100672"/>
    <s v="DBK-CUS-500672"/>
    <x v="1"/>
    <x v="4"/>
    <x v="33"/>
    <n v="19"/>
    <x v="1"/>
    <x v="22"/>
    <n v="3"/>
    <x v="1"/>
    <n v="0"/>
    <x v="8"/>
    <x v="0"/>
  </r>
  <r>
    <s v="DBK-CMP-100673"/>
    <s v="DBK-CUS-500673"/>
    <x v="7"/>
    <x v="3"/>
    <x v="55"/>
    <n v="22"/>
    <x v="2"/>
    <x v="0"/>
    <m/>
    <x v="0"/>
    <s v=" "/>
    <x v="4"/>
    <x v="0"/>
  </r>
  <r>
    <s v="DBK-CMP-100674"/>
    <s v="DBK-CUS-500674"/>
    <x v="4"/>
    <x v="0"/>
    <x v="5"/>
    <n v="69"/>
    <x v="1"/>
    <x v="48"/>
    <n v="1"/>
    <x v="1"/>
    <n v="2"/>
    <x v="4"/>
    <x v="1"/>
  </r>
  <r>
    <s v="DBK-CMP-100675"/>
    <s v="DBK-CUS-500675"/>
    <x v="5"/>
    <x v="3"/>
    <x v="304"/>
    <n v="6"/>
    <x v="2"/>
    <x v="0"/>
    <m/>
    <x v="0"/>
    <s v=" "/>
    <x v="8"/>
    <x v="0"/>
  </r>
  <r>
    <s v="DBK-CMP-100676"/>
    <s v="DBK-CUS-500676"/>
    <x v="2"/>
    <x v="4"/>
    <x v="42"/>
    <n v="47"/>
    <x v="1"/>
    <x v="111"/>
    <n v="2"/>
    <x v="1"/>
    <n v="1"/>
    <x v="9"/>
    <x v="1"/>
  </r>
  <r>
    <s v="DBK-CMP-100677"/>
    <s v="DBK-CUS-500677"/>
    <x v="4"/>
    <x v="3"/>
    <x v="305"/>
    <n v="42"/>
    <x v="0"/>
    <x v="0"/>
    <m/>
    <x v="0"/>
    <s v=" "/>
    <x v="4"/>
    <x v="1"/>
  </r>
  <r>
    <s v="DBK-CMP-100678"/>
    <s v="DBK-CUS-500678"/>
    <x v="5"/>
    <x v="0"/>
    <x v="207"/>
    <n v="8"/>
    <x v="1"/>
    <x v="251"/>
    <n v="5"/>
    <x v="1"/>
    <n v="0"/>
    <x v="4"/>
    <x v="0"/>
  </r>
  <r>
    <s v="DBK-CMP-100679"/>
    <s v="DBK-CUS-500679"/>
    <x v="1"/>
    <x v="4"/>
    <x v="235"/>
    <n v="15"/>
    <x v="1"/>
    <x v="175"/>
    <n v="3"/>
    <x v="1"/>
    <n v="0"/>
    <x v="6"/>
    <x v="0"/>
  </r>
  <r>
    <s v="DBK-CMP-100680"/>
    <s v="DBK-CUS-500680"/>
    <x v="3"/>
    <x v="4"/>
    <x v="291"/>
    <n v="61"/>
    <x v="1"/>
    <x v="178"/>
    <n v="1"/>
    <x v="1"/>
    <n v="2"/>
    <x v="3"/>
    <x v="1"/>
  </r>
  <r>
    <s v="DBK-CMP-100681"/>
    <s v="DBK-CUS-500681"/>
    <x v="5"/>
    <x v="1"/>
    <x v="18"/>
    <n v="10"/>
    <x v="1"/>
    <x v="26"/>
    <n v="4"/>
    <x v="1"/>
    <n v="0"/>
    <x v="3"/>
    <x v="0"/>
  </r>
  <r>
    <s v="DBK-CMP-100682"/>
    <s v="DBK-CUS-500682"/>
    <x v="1"/>
    <x v="1"/>
    <x v="23"/>
    <n v="8"/>
    <x v="1"/>
    <x v="14"/>
    <n v="5"/>
    <x v="1"/>
    <n v="0"/>
    <x v="11"/>
    <x v="0"/>
  </r>
  <r>
    <s v="DBK-CMP-100683"/>
    <s v="DBK-CUS-500683"/>
    <x v="7"/>
    <x v="2"/>
    <x v="98"/>
    <n v="19"/>
    <x v="2"/>
    <x v="0"/>
    <m/>
    <x v="0"/>
    <s v=" "/>
    <x v="9"/>
    <x v="0"/>
  </r>
  <r>
    <s v="DBK-CMP-100684"/>
    <s v="DBK-CUS-500684"/>
    <x v="1"/>
    <x v="4"/>
    <x v="234"/>
    <n v="21"/>
    <x v="2"/>
    <x v="0"/>
    <m/>
    <x v="0"/>
    <s v=" "/>
    <x v="6"/>
    <x v="0"/>
  </r>
  <r>
    <s v="DBK-CMP-100685"/>
    <s v="DBK-CUS-500685"/>
    <x v="5"/>
    <x v="3"/>
    <x v="306"/>
    <n v="10"/>
    <x v="2"/>
    <x v="0"/>
    <m/>
    <x v="0"/>
    <s v=" "/>
    <x v="1"/>
    <x v="0"/>
  </r>
  <r>
    <s v="DBK-CMP-100686"/>
    <s v="DBK-CUS-500686"/>
    <x v="5"/>
    <x v="4"/>
    <x v="162"/>
    <n v="4"/>
    <x v="1"/>
    <x v="252"/>
    <n v="5"/>
    <x v="1"/>
    <n v="0"/>
    <x v="6"/>
    <x v="0"/>
  </r>
  <r>
    <s v="DBK-CMP-100687"/>
    <s v="DBK-CUS-500687"/>
    <x v="7"/>
    <x v="1"/>
    <x v="267"/>
    <n v="21"/>
    <x v="1"/>
    <x v="253"/>
    <n v="3"/>
    <x v="1"/>
    <n v="0"/>
    <x v="3"/>
    <x v="0"/>
  </r>
  <r>
    <s v="DBK-CMP-100688"/>
    <s v="DBK-CUS-500688"/>
    <x v="6"/>
    <x v="2"/>
    <x v="210"/>
    <n v="14"/>
    <x v="1"/>
    <x v="196"/>
    <n v="5"/>
    <x v="1"/>
    <n v="0"/>
    <x v="10"/>
    <x v="0"/>
  </r>
  <r>
    <s v="DBK-CMP-100689"/>
    <s v="DBK-CUS-500689"/>
    <x v="4"/>
    <x v="0"/>
    <x v="307"/>
    <n v="60"/>
    <x v="1"/>
    <x v="254"/>
    <n v="1"/>
    <x v="1"/>
    <n v="2"/>
    <x v="11"/>
    <x v="1"/>
  </r>
  <r>
    <s v="DBK-CMP-100690"/>
    <s v="DBK-CUS-500690"/>
    <x v="3"/>
    <x v="3"/>
    <x v="192"/>
    <n v="26"/>
    <x v="1"/>
    <x v="125"/>
    <n v="2"/>
    <x v="1"/>
    <n v="1"/>
    <x v="10"/>
    <x v="1"/>
  </r>
  <r>
    <s v="DBK-CMP-100691"/>
    <s v="DBK-CUS-500691"/>
    <x v="2"/>
    <x v="3"/>
    <x v="62"/>
    <n v="95"/>
    <x v="1"/>
    <x v="94"/>
    <n v="1"/>
    <x v="1"/>
    <n v="3"/>
    <x v="8"/>
    <x v="2"/>
  </r>
  <r>
    <s v="DBK-CMP-100692"/>
    <s v="DBK-CUS-500692"/>
    <x v="2"/>
    <x v="3"/>
    <x v="308"/>
    <n v="30"/>
    <x v="1"/>
    <x v="255"/>
    <n v="5"/>
    <x v="1"/>
    <n v="1"/>
    <x v="7"/>
    <x v="1"/>
  </r>
  <r>
    <s v="DBK-CMP-100693"/>
    <s v="DBK-CUS-500693"/>
    <x v="4"/>
    <x v="0"/>
    <x v="117"/>
    <n v="10"/>
    <x v="1"/>
    <x v="256"/>
    <n v="4"/>
    <x v="1"/>
    <n v="0"/>
    <x v="0"/>
    <x v="0"/>
  </r>
  <r>
    <s v="DBK-CMP-100694"/>
    <s v="DBK-CUS-500694"/>
    <x v="1"/>
    <x v="3"/>
    <x v="309"/>
    <n v="13"/>
    <x v="1"/>
    <x v="58"/>
    <n v="3"/>
    <x v="1"/>
    <n v="0"/>
    <x v="1"/>
    <x v="0"/>
  </r>
  <r>
    <s v="DBK-CMP-100695"/>
    <s v="DBK-CUS-500695"/>
    <x v="6"/>
    <x v="4"/>
    <x v="229"/>
    <n v="12"/>
    <x v="1"/>
    <x v="228"/>
    <n v="4"/>
    <x v="1"/>
    <n v="0"/>
    <x v="1"/>
    <x v="0"/>
  </r>
  <r>
    <s v="DBK-CMP-100696"/>
    <s v="DBK-CUS-500696"/>
    <x v="7"/>
    <x v="2"/>
    <x v="111"/>
    <n v="9"/>
    <x v="1"/>
    <x v="257"/>
    <n v="4"/>
    <x v="1"/>
    <n v="0"/>
    <x v="6"/>
    <x v="0"/>
  </r>
  <r>
    <s v="DBK-CMP-100697"/>
    <s v="DBK-CUS-500697"/>
    <x v="6"/>
    <x v="3"/>
    <x v="281"/>
    <n v="13"/>
    <x v="2"/>
    <x v="0"/>
    <m/>
    <x v="0"/>
    <s v=" "/>
    <x v="5"/>
    <x v="0"/>
  </r>
  <r>
    <s v="DBK-CMP-100698"/>
    <s v="DBK-CUS-500698"/>
    <x v="5"/>
    <x v="1"/>
    <x v="310"/>
    <n v="7"/>
    <x v="1"/>
    <x v="86"/>
    <n v="4"/>
    <x v="1"/>
    <n v="0"/>
    <x v="0"/>
    <x v="0"/>
  </r>
  <r>
    <s v="DBK-CMP-100699"/>
    <s v="DBK-CUS-500699"/>
    <x v="4"/>
    <x v="1"/>
    <x v="11"/>
    <n v="11"/>
    <x v="1"/>
    <x v="108"/>
    <n v="5"/>
    <x v="1"/>
    <n v="0"/>
    <x v="1"/>
    <x v="0"/>
  </r>
  <r>
    <s v="DBK-CMP-100700"/>
    <s v="DBK-CUS-500700"/>
    <x v="7"/>
    <x v="1"/>
    <x v="4"/>
    <n v="12"/>
    <x v="1"/>
    <x v="105"/>
    <n v="5"/>
    <x v="1"/>
    <n v="0"/>
    <x v="3"/>
    <x v="0"/>
  </r>
  <r>
    <s v="DBK-CMP-100701"/>
    <s v="DBK-CUS-500701"/>
    <x v="5"/>
    <x v="1"/>
    <x v="65"/>
    <n v="1"/>
    <x v="1"/>
    <x v="258"/>
    <n v="5"/>
    <x v="1"/>
    <n v="0"/>
    <x v="3"/>
    <x v="0"/>
  </r>
  <r>
    <s v="DBK-CMP-100702"/>
    <s v="DBK-CUS-500702"/>
    <x v="5"/>
    <x v="1"/>
    <x v="168"/>
    <n v="5"/>
    <x v="2"/>
    <x v="0"/>
    <m/>
    <x v="0"/>
    <s v=" "/>
    <x v="9"/>
    <x v="0"/>
  </r>
  <r>
    <s v="DBK-CMP-100703"/>
    <s v="DBK-CUS-500703"/>
    <x v="0"/>
    <x v="4"/>
    <x v="199"/>
    <n v="44"/>
    <x v="2"/>
    <x v="0"/>
    <m/>
    <x v="0"/>
    <s v=" "/>
    <x v="4"/>
    <x v="1"/>
  </r>
  <r>
    <s v="DBK-CMP-100704"/>
    <s v="DBK-CUS-500704"/>
    <x v="4"/>
    <x v="0"/>
    <x v="87"/>
    <n v="33"/>
    <x v="1"/>
    <x v="259"/>
    <n v="2"/>
    <x v="1"/>
    <n v="1"/>
    <x v="1"/>
    <x v="1"/>
  </r>
  <r>
    <s v="DBK-CMP-100705"/>
    <s v="DBK-CUS-500705"/>
    <x v="5"/>
    <x v="2"/>
    <x v="41"/>
    <n v="6"/>
    <x v="1"/>
    <x v="28"/>
    <n v="5"/>
    <x v="1"/>
    <n v="0"/>
    <x v="4"/>
    <x v="0"/>
  </r>
  <r>
    <s v="DBK-CMP-100706"/>
    <s v="DBK-CUS-500706"/>
    <x v="4"/>
    <x v="3"/>
    <x v="87"/>
    <n v="48"/>
    <x v="1"/>
    <x v="58"/>
    <n v="2"/>
    <x v="1"/>
    <n v="2"/>
    <x v="1"/>
    <x v="1"/>
  </r>
  <r>
    <s v="DBK-CMP-100707"/>
    <s v="DBK-CUS-500707"/>
    <x v="2"/>
    <x v="1"/>
    <x v="195"/>
    <n v="66"/>
    <x v="1"/>
    <x v="260"/>
    <n v="1"/>
    <x v="1"/>
    <n v="2"/>
    <x v="3"/>
    <x v="1"/>
  </r>
  <r>
    <s v="DBK-CMP-100708"/>
    <s v="DBK-CUS-500708"/>
    <x v="5"/>
    <x v="4"/>
    <x v="113"/>
    <n v="5"/>
    <x v="1"/>
    <x v="250"/>
    <n v="5"/>
    <x v="1"/>
    <n v="0"/>
    <x v="4"/>
    <x v="0"/>
  </r>
  <r>
    <s v="DBK-CMP-100709"/>
    <s v="DBK-CUS-500709"/>
    <x v="2"/>
    <x v="4"/>
    <x v="311"/>
    <n v="69"/>
    <x v="1"/>
    <x v="173"/>
    <n v="1"/>
    <x v="1"/>
    <n v="2"/>
    <x v="11"/>
    <x v="1"/>
  </r>
  <r>
    <s v="DBK-CMP-100710"/>
    <s v="DBK-CUS-500710"/>
    <x v="1"/>
    <x v="0"/>
    <x v="155"/>
    <n v="4"/>
    <x v="2"/>
    <x v="0"/>
    <m/>
    <x v="0"/>
    <s v=" "/>
    <x v="4"/>
    <x v="0"/>
  </r>
  <r>
    <s v="DBK-CMP-100711"/>
    <s v="DBK-CUS-500711"/>
    <x v="4"/>
    <x v="4"/>
    <x v="119"/>
    <n v="7"/>
    <x v="1"/>
    <x v="68"/>
    <n v="4"/>
    <x v="1"/>
    <n v="0"/>
    <x v="7"/>
    <x v="0"/>
  </r>
  <r>
    <s v="DBK-CMP-100712"/>
    <s v="DBK-CUS-500712"/>
    <x v="3"/>
    <x v="1"/>
    <x v="95"/>
    <n v="53"/>
    <x v="2"/>
    <x v="0"/>
    <m/>
    <x v="0"/>
    <s v=" "/>
    <x v="11"/>
    <x v="1"/>
  </r>
  <r>
    <s v="DBK-CMP-100713"/>
    <s v="DBK-CUS-500713"/>
    <x v="5"/>
    <x v="0"/>
    <x v="240"/>
    <n v="3"/>
    <x v="1"/>
    <x v="64"/>
    <n v="5"/>
    <x v="1"/>
    <n v="0"/>
    <x v="9"/>
    <x v="0"/>
  </r>
  <r>
    <s v="DBK-CMP-100714"/>
    <s v="DBK-CUS-500714"/>
    <x v="4"/>
    <x v="3"/>
    <x v="120"/>
    <n v="32"/>
    <x v="1"/>
    <x v="64"/>
    <n v="2"/>
    <x v="1"/>
    <n v="1"/>
    <x v="9"/>
    <x v="1"/>
  </r>
  <r>
    <s v="DBK-CMP-100715"/>
    <s v="DBK-CUS-500715"/>
    <x v="1"/>
    <x v="1"/>
    <x v="298"/>
    <n v="4"/>
    <x v="0"/>
    <x v="0"/>
    <m/>
    <x v="0"/>
    <s v=" "/>
    <x v="11"/>
    <x v="0"/>
  </r>
  <r>
    <s v="DBK-CMP-100716"/>
    <s v="DBK-CUS-500716"/>
    <x v="2"/>
    <x v="4"/>
    <x v="15"/>
    <n v="64"/>
    <x v="1"/>
    <x v="179"/>
    <n v="1"/>
    <x v="1"/>
    <n v="2"/>
    <x v="9"/>
    <x v="1"/>
  </r>
  <r>
    <s v="DBK-CMP-100717"/>
    <s v="DBK-CUS-500717"/>
    <x v="4"/>
    <x v="4"/>
    <x v="218"/>
    <n v="34"/>
    <x v="1"/>
    <x v="203"/>
    <n v="5"/>
    <x v="1"/>
    <n v="1"/>
    <x v="0"/>
    <x v="1"/>
  </r>
  <r>
    <s v="DBK-CMP-100718"/>
    <s v="DBK-CUS-500718"/>
    <x v="7"/>
    <x v="0"/>
    <x v="150"/>
    <n v="4"/>
    <x v="0"/>
    <x v="0"/>
    <m/>
    <x v="0"/>
    <s v=" "/>
    <x v="10"/>
    <x v="0"/>
  </r>
  <r>
    <s v="DBK-CMP-100719"/>
    <s v="DBK-CUS-500719"/>
    <x v="6"/>
    <x v="2"/>
    <x v="38"/>
    <n v="9"/>
    <x v="1"/>
    <x v="261"/>
    <n v="4"/>
    <x v="1"/>
    <n v="0"/>
    <x v="2"/>
    <x v="0"/>
  </r>
  <r>
    <s v="DBK-CMP-100720"/>
    <s v="DBK-CUS-500720"/>
    <x v="6"/>
    <x v="4"/>
    <x v="24"/>
    <n v="19"/>
    <x v="1"/>
    <x v="262"/>
    <n v="3"/>
    <x v="1"/>
    <n v="0"/>
    <x v="1"/>
    <x v="0"/>
  </r>
  <r>
    <s v="DBK-CMP-100721"/>
    <s v="DBK-CUS-500721"/>
    <x v="0"/>
    <x v="4"/>
    <x v="152"/>
    <n v="36"/>
    <x v="0"/>
    <x v="0"/>
    <m/>
    <x v="0"/>
    <s v=" "/>
    <x v="1"/>
    <x v="1"/>
  </r>
  <r>
    <s v="DBK-CMP-100722"/>
    <s v="DBK-CUS-500722"/>
    <x v="2"/>
    <x v="1"/>
    <x v="203"/>
    <n v="29"/>
    <x v="2"/>
    <x v="0"/>
    <m/>
    <x v="0"/>
    <s v=" "/>
    <x v="7"/>
    <x v="1"/>
  </r>
  <r>
    <s v="DBK-CMP-100723"/>
    <s v="DBK-CUS-500723"/>
    <x v="2"/>
    <x v="2"/>
    <x v="149"/>
    <n v="37"/>
    <x v="2"/>
    <x v="0"/>
    <m/>
    <x v="0"/>
    <s v=" "/>
    <x v="3"/>
    <x v="1"/>
  </r>
  <r>
    <s v="DBK-CMP-100724"/>
    <s v="DBK-CUS-500724"/>
    <x v="2"/>
    <x v="3"/>
    <x v="143"/>
    <n v="58"/>
    <x v="1"/>
    <x v="181"/>
    <n v="1"/>
    <x v="1"/>
    <n v="2"/>
    <x v="11"/>
    <x v="1"/>
  </r>
  <r>
    <s v="DBK-CMP-100725"/>
    <s v="DBK-CUS-500725"/>
    <x v="5"/>
    <x v="1"/>
    <x v="273"/>
    <n v="11"/>
    <x v="2"/>
    <x v="0"/>
    <m/>
    <x v="0"/>
    <s v=" "/>
    <x v="4"/>
    <x v="0"/>
  </r>
  <r>
    <s v="DBK-CMP-100726"/>
    <s v="DBK-CUS-500726"/>
    <x v="4"/>
    <x v="0"/>
    <x v="102"/>
    <n v="70"/>
    <x v="1"/>
    <x v="263"/>
    <n v="1"/>
    <x v="1"/>
    <n v="2"/>
    <x v="7"/>
    <x v="1"/>
  </r>
  <r>
    <s v="DBK-CMP-100727"/>
    <s v="DBK-CUS-500727"/>
    <x v="2"/>
    <x v="4"/>
    <x v="113"/>
    <n v="32"/>
    <x v="0"/>
    <x v="0"/>
    <m/>
    <x v="0"/>
    <s v=" "/>
    <x v="4"/>
    <x v="1"/>
  </r>
  <r>
    <s v="DBK-CMP-100728"/>
    <s v="DBK-CUS-500728"/>
    <x v="6"/>
    <x v="2"/>
    <x v="84"/>
    <n v="7"/>
    <x v="1"/>
    <x v="241"/>
    <n v="4"/>
    <x v="1"/>
    <n v="0"/>
    <x v="1"/>
    <x v="0"/>
  </r>
  <r>
    <s v="DBK-CMP-100729"/>
    <s v="DBK-CUS-500729"/>
    <x v="7"/>
    <x v="1"/>
    <x v="50"/>
    <n v="13"/>
    <x v="1"/>
    <x v="229"/>
    <n v="3"/>
    <x v="1"/>
    <n v="0"/>
    <x v="9"/>
    <x v="0"/>
  </r>
  <r>
    <s v="DBK-CMP-100730"/>
    <s v="DBK-CUS-500730"/>
    <x v="2"/>
    <x v="1"/>
    <x v="299"/>
    <n v="34"/>
    <x v="0"/>
    <x v="0"/>
    <m/>
    <x v="0"/>
    <s v=" "/>
    <x v="2"/>
    <x v="1"/>
  </r>
  <r>
    <s v="DBK-CMP-100731"/>
    <s v="DBK-CUS-500731"/>
    <x v="5"/>
    <x v="2"/>
    <x v="18"/>
    <n v="2"/>
    <x v="1"/>
    <x v="26"/>
    <n v="5"/>
    <x v="1"/>
    <n v="0"/>
    <x v="3"/>
    <x v="0"/>
  </r>
  <r>
    <s v="DBK-CMP-100732"/>
    <s v="DBK-CUS-500732"/>
    <x v="3"/>
    <x v="3"/>
    <x v="94"/>
    <n v="29"/>
    <x v="0"/>
    <x v="0"/>
    <m/>
    <x v="0"/>
    <s v=" "/>
    <x v="7"/>
    <x v="1"/>
  </r>
  <r>
    <s v="DBK-CMP-100733"/>
    <s v="DBK-CUS-500733"/>
    <x v="1"/>
    <x v="3"/>
    <x v="13"/>
    <n v="33"/>
    <x v="0"/>
    <x v="0"/>
    <m/>
    <x v="0"/>
    <s v=" "/>
    <x v="4"/>
    <x v="1"/>
  </r>
  <r>
    <s v="DBK-CMP-100734"/>
    <s v="DBK-CUS-500734"/>
    <x v="0"/>
    <x v="1"/>
    <x v="116"/>
    <n v="15"/>
    <x v="1"/>
    <x v="84"/>
    <n v="3"/>
    <x v="1"/>
    <n v="0"/>
    <x v="0"/>
    <x v="0"/>
  </r>
  <r>
    <s v="DBK-CMP-100735"/>
    <s v="DBK-CUS-500735"/>
    <x v="3"/>
    <x v="2"/>
    <x v="239"/>
    <n v="64"/>
    <x v="1"/>
    <x v="196"/>
    <n v="1"/>
    <x v="1"/>
    <n v="2"/>
    <x v="10"/>
    <x v="1"/>
  </r>
  <r>
    <s v="DBK-CMP-100736"/>
    <s v="DBK-CUS-500736"/>
    <x v="0"/>
    <x v="0"/>
    <x v="40"/>
    <n v="27"/>
    <x v="1"/>
    <x v="32"/>
    <n v="2"/>
    <x v="1"/>
    <n v="1"/>
    <x v="9"/>
    <x v="1"/>
  </r>
  <r>
    <s v="DBK-CMP-100737"/>
    <s v="DBK-CUS-500737"/>
    <x v="2"/>
    <x v="3"/>
    <x v="22"/>
    <n v="26"/>
    <x v="1"/>
    <x v="264"/>
    <n v="2"/>
    <x v="1"/>
    <n v="1"/>
    <x v="8"/>
    <x v="1"/>
  </r>
  <r>
    <s v="DBK-CMP-100738"/>
    <s v="DBK-CUS-500738"/>
    <x v="4"/>
    <x v="2"/>
    <x v="293"/>
    <n v="33"/>
    <x v="0"/>
    <x v="0"/>
    <m/>
    <x v="0"/>
    <s v=" "/>
    <x v="0"/>
    <x v="1"/>
  </r>
  <r>
    <s v="DBK-CMP-100739"/>
    <s v="DBK-CUS-500739"/>
    <x v="4"/>
    <x v="2"/>
    <x v="10"/>
    <n v="58"/>
    <x v="1"/>
    <x v="200"/>
    <n v="1"/>
    <x v="1"/>
    <n v="2"/>
    <x v="8"/>
    <x v="1"/>
  </r>
  <r>
    <s v="DBK-CMP-100740"/>
    <s v="DBK-CUS-500740"/>
    <x v="1"/>
    <x v="0"/>
    <x v="182"/>
    <n v="22"/>
    <x v="0"/>
    <x v="0"/>
    <m/>
    <x v="0"/>
    <s v=" "/>
    <x v="0"/>
    <x v="0"/>
  </r>
  <r>
    <s v="DBK-CMP-100741"/>
    <s v="DBK-CUS-500741"/>
    <x v="7"/>
    <x v="4"/>
    <x v="312"/>
    <n v="2"/>
    <x v="0"/>
    <x v="0"/>
    <m/>
    <x v="0"/>
    <s v=" "/>
    <x v="4"/>
    <x v="0"/>
  </r>
  <r>
    <s v="DBK-CMP-100742"/>
    <s v="DBK-CUS-500742"/>
    <x v="0"/>
    <x v="0"/>
    <x v="239"/>
    <n v="5"/>
    <x v="1"/>
    <x v="176"/>
    <n v="5"/>
    <x v="1"/>
    <n v="0"/>
    <x v="10"/>
    <x v="0"/>
  </r>
  <r>
    <s v="DBK-CMP-100743"/>
    <s v="DBK-CUS-500743"/>
    <x v="7"/>
    <x v="3"/>
    <x v="177"/>
    <n v="15"/>
    <x v="2"/>
    <x v="0"/>
    <m/>
    <x v="0"/>
    <s v=" "/>
    <x v="3"/>
    <x v="0"/>
  </r>
  <r>
    <s v="DBK-CMP-100744"/>
    <s v="DBK-CUS-500744"/>
    <x v="5"/>
    <x v="0"/>
    <x v="92"/>
    <n v="11"/>
    <x v="1"/>
    <x v="145"/>
    <n v="4"/>
    <x v="1"/>
    <n v="0"/>
    <x v="2"/>
    <x v="0"/>
  </r>
  <r>
    <s v="DBK-CMP-100745"/>
    <s v="DBK-CUS-500745"/>
    <x v="4"/>
    <x v="0"/>
    <x v="43"/>
    <n v="42"/>
    <x v="1"/>
    <x v="224"/>
    <n v="2"/>
    <x v="1"/>
    <n v="1"/>
    <x v="11"/>
    <x v="1"/>
  </r>
  <r>
    <s v="DBK-CMP-100746"/>
    <s v="DBK-CUS-500746"/>
    <x v="2"/>
    <x v="2"/>
    <x v="231"/>
    <n v="30"/>
    <x v="0"/>
    <x v="0"/>
    <m/>
    <x v="0"/>
    <s v=" "/>
    <x v="8"/>
    <x v="1"/>
  </r>
  <r>
    <s v="DBK-CMP-100747"/>
    <s v="DBK-CUS-500747"/>
    <x v="1"/>
    <x v="0"/>
    <x v="313"/>
    <n v="22"/>
    <x v="0"/>
    <x v="0"/>
    <m/>
    <x v="0"/>
    <s v=" "/>
    <x v="9"/>
    <x v="0"/>
  </r>
  <r>
    <s v="DBK-CMP-100748"/>
    <s v="DBK-CUS-500748"/>
    <x v="4"/>
    <x v="4"/>
    <x v="297"/>
    <n v="16"/>
    <x v="1"/>
    <x v="200"/>
    <n v="5"/>
    <x v="1"/>
    <n v="0"/>
    <x v="8"/>
    <x v="0"/>
  </r>
  <r>
    <s v="DBK-CMP-100749"/>
    <s v="DBK-CUS-500749"/>
    <x v="2"/>
    <x v="4"/>
    <x v="79"/>
    <n v="26"/>
    <x v="1"/>
    <x v="265"/>
    <n v="2"/>
    <x v="1"/>
    <n v="1"/>
    <x v="2"/>
    <x v="1"/>
  </r>
  <r>
    <s v="DBK-CMP-100750"/>
    <s v="DBK-CUS-500750"/>
    <x v="6"/>
    <x v="1"/>
    <x v="5"/>
    <n v="12"/>
    <x v="0"/>
    <x v="0"/>
    <m/>
    <x v="0"/>
    <s v=" "/>
    <x v="4"/>
    <x v="0"/>
  </r>
  <r>
    <s v="DBK-CMP-100751"/>
    <s v="DBK-CUS-500751"/>
    <x v="2"/>
    <x v="0"/>
    <x v="275"/>
    <n v="85"/>
    <x v="1"/>
    <x v="244"/>
    <n v="5"/>
    <x v="1"/>
    <n v="3"/>
    <x v="8"/>
    <x v="2"/>
  </r>
  <r>
    <s v="DBK-CMP-100752"/>
    <s v="DBK-CUS-500752"/>
    <x v="0"/>
    <x v="2"/>
    <x v="220"/>
    <n v="23"/>
    <x v="1"/>
    <x v="266"/>
    <n v="3"/>
    <x v="1"/>
    <n v="0"/>
    <x v="10"/>
    <x v="0"/>
  </r>
  <r>
    <s v="DBK-CMP-100753"/>
    <s v="DBK-CUS-500753"/>
    <x v="1"/>
    <x v="1"/>
    <x v="219"/>
    <n v="35"/>
    <x v="0"/>
    <x v="0"/>
    <m/>
    <x v="0"/>
    <s v=" "/>
    <x v="8"/>
    <x v="1"/>
  </r>
  <r>
    <s v="DBK-CMP-100754"/>
    <s v="DBK-CUS-500754"/>
    <x v="0"/>
    <x v="1"/>
    <x v="127"/>
    <n v="39"/>
    <x v="0"/>
    <x v="0"/>
    <m/>
    <x v="0"/>
    <s v=" "/>
    <x v="10"/>
    <x v="1"/>
  </r>
  <r>
    <s v="DBK-CMP-100755"/>
    <s v="DBK-CUS-500755"/>
    <x v="0"/>
    <x v="2"/>
    <x v="235"/>
    <n v="9"/>
    <x v="1"/>
    <x v="175"/>
    <n v="4"/>
    <x v="1"/>
    <n v="0"/>
    <x v="6"/>
    <x v="0"/>
  </r>
  <r>
    <s v="DBK-CMP-100756"/>
    <s v="DBK-CUS-500756"/>
    <x v="1"/>
    <x v="0"/>
    <x v="314"/>
    <n v="16"/>
    <x v="1"/>
    <x v="267"/>
    <n v="3"/>
    <x v="1"/>
    <n v="0"/>
    <x v="6"/>
    <x v="0"/>
  </r>
  <r>
    <s v="DBK-CMP-100757"/>
    <s v="DBK-CUS-500757"/>
    <x v="2"/>
    <x v="2"/>
    <x v="200"/>
    <n v="48"/>
    <x v="1"/>
    <x v="212"/>
    <n v="5"/>
    <x v="1"/>
    <n v="2"/>
    <x v="2"/>
    <x v="1"/>
  </r>
  <r>
    <s v="DBK-CMP-100758"/>
    <s v="DBK-CUS-500758"/>
    <x v="2"/>
    <x v="1"/>
    <x v="82"/>
    <n v="69"/>
    <x v="1"/>
    <x v="9"/>
    <n v="1"/>
    <x v="1"/>
    <n v="2"/>
    <x v="1"/>
    <x v="1"/>
  </r>
  <r>
    <s v="DBK-CMP-100759"/>
    <s v="DBK-CUS-500759"/>
    <x v="3"/>
    <x v="1"/>
    <x v="137"/>
    <n v="55"/>
    <x v="1"/>
    <x v="171"/>
    <n v="1"/>
    <x v="1"/>
    <n v="2"/>
    <x v="7"/>
    <x v="1"/>
  </r>
  <r>
    <s v="DBK-CMP-100760"/>
    <s v="DBK-CUS-500760"/>
    <x v="4"/>
    <x v="3"/>
    <x v="173"/>
    <n v="10"/>
    <x v="2"/>
    <x v="0"/>
    <m/>
    <x v="0"/>
    <s v=" "/>
    <x v="0"/>
    <x v="0"/>
  </r>
  <r>
    <s v="DBK-CMP-100761"/>
    <s v="DBK-CUS-500761"/>
    <x v="7"/>
    <x v="4"/>
    <x v="32"/>
    <n v="20"/>
    <x v="1"/>
    <x v="268"/>
    <n v="3"/>
    <x v="1"/>
    <n v="0"/>
    <x v="6"/>
    <x v="0"/>
  </r>
  <r>
    <s v="DBK-CMP-100762"/>
    <s v="DBK-CUS-500762"/>
    <x v="2"/>
    <x v="0"/>
    <x v="275"/>
    <n v="93"/>
    <x v="0"/>
    <x v="0"/>
    <m/>
    <x v="0"/>
    <s v=" "/>
    <x v="8"/>
    <x v="2"/>
  </r>
  <r>
    <s v="DBK-CMP-100763"/>
    <s v="DBK-CUS-500763"/>
    <x v="1"/>
    <x v="1"/>
    <x v="269"/>
    <n v="32"/>
    <x v="0"/>
    <x v="0"/>
    <m/>
    <x v="0"/>
    <s v=" "/>
    <x v="11"/>
    <x v="1"/>
  </r>
  <r>
    <s v="DBK-CMP-100764"/>
    <s v="DBK-CUS-500764"/>
    <x v="3"/>
    <x v="0"/>
    <x v="50"/>
    <n v="56"/>
    <x v="1"/>
    <x v="269"/>
    <n v="1"/>
    <x v="1"/>
    <n v="2"/>
    <x v="9"/>
    <x v="1"/>
  </r>
  <r>
    <s v="DBK-CMP-100765"/>
    <s v="DBK-CUS-500765"/>
    <x v="3"/>
    <x v="1"/>
    <x v="113"/>
    <n v="28"/>
    <x v="0"/>
    <x v="0"/>
    <m/>
    <x v="0"/>
    <s v=" "/>
    <x v="4"/>
    <x v="1"/>
  </r>
  <r>
    <s v="DBK-CMP-100766"/>
    <s v="DBK-CUS-500766"/>
    <x v="3"/>
    <x v="4"/>
    <x v="315"/>
    <n v="38"/>
    <x v="2"/>
    <x v="0"/>
    <m/>
    <x v="0"/>
    <s v=" "/>
    <x v="0"/>
    <x v="1"/>
  </r>
  <r>
    <s v="DBK-CMP-100767"/>
    <s v="DBK-CUS-500767"/>
    <x v="7"/>
    <x v="2"/>
    <x v="147"/>
    <n v="18"/>
    <x v="1"/>
    <x v="270"/>
    <n v="3"/>
    <x v="1"/>
    <n v="0"/>
    <x v="3"/>
    <x v="0"/>
  </r>
  <r>
    <s v="DBK-CMP-100768"/>
    <s v="DBK-CUS-500768"/>
    <x v="0"/>
    <x v="4"/>
    <x v="70"/>
    <n v="15"/>
    <x v="1"/>
    <x v="207"/>
    <n v="3"/>
    <x v="1"/>
    <n v="0"/>
    <x v="4"/>
    <x v="0"/>
  </r>
  <r>
    <s v="DBK-CMP-100769"/>
    <s v="DBK-CUS-500769"/>
    <x v="4"/>
    <x v="2"/>
    <x v="307"/>
    <n v="14"/>
    <x v="2"/>
    <x v="0"/>
    <m/>
    <x v="0"/>
    <s v=" "/>
    <x v="11"/>
    <x v="0"/>
  </r>
  <r>
    <s v="DBK-CMP-100770"/>
    <s v="DBK-CUS-500770"/>
    <x v="6"/>
    <x v="3"/>
    <x v="155"/>
    <n v="17"/>
    <x v="2"/>
    <x v="0"/>
    <m/>
    <x v="0"/>
    <s v=" "/>
    <x v="4"/>
    <x v="0"/>
  </r>
  <r>
    <s v="DBK-CMP-100771"/>
    <s v="DBK-CUS-500771"/>
    <x v="1"/>
    <x v="3"/>
    <x v="316"/>
    <n v="24"/>
    <x v="1"/>
    <x v="73"/>
    <n v="3"/>
    <x v="1"/>
    <n v="1"/>
    <x v="7"/>
    <x v="0"/>
  </r>
  <r>
    <s v="DBK-CMP-100772"/>
    <s v="DBK-CUS-500772"/>
    <x v="3"/>
    <x v="3"/>
    <x v="38"/>
    <n v="33"/>
    <x v="1"/>
    <x v="25"/>
    <n v="2"/>
    <x v="1"/>
    <n v="1"/>
    <x v="2"/>
    <x v="1"/>
  </r>
  <r>
    <s v="DBK-CMP-100773"/>
    <s v="DBK-CUS-500773"/>
    <x v="3"/>
    <x v="3"/>
    <x v="65"/>
    <n v="63"/>
    <x v="1"/>
    <x v="270"/>
    <n v="1"/>
    <x v="1"/>
    <n v="2"/>
    <x v="3"/>
    <x v="1"/>
  </r>
  <r>
    <s v="DBK-CMP-100774"/>
    <s v="DBK-CUS-500774"/>
    <x v="7"/>
    <x v="0"/>
    <x v="2"/>
    <n v="8"/>
    <x v="0"/>
    <x v="0"/>
    <m/>
    <x v="0"/>
    <s v=" "/>
    <x v="1"/>
    <x v="0"/>
  </r>
  <r>
    <s v="DBK-CMP-100775"/>
    <s v="DBK-CUS-500775"/>
    <x v="1"/>
    <x v="3"/>
    <x v="21"/>
    <n v="8"/>
    <x v="2"/>
    <x v="0"/>
    <m/>
    <x v="0"/>
    <s v=" "/>
    <x v="10"/>
    <x v="0"/>
  </r>
  <r>
    <s v="DBK-CMP-100776"/>
    <s v="DBK-CUS-500776"/>
    <x v="4"/>
    <x v="0"/>
    <x v="86"/>
    <n v="38"/>
    <x v="1"/>
    <x v="271"/>
    <n v="2"/>
    <x v="1"/>
    <n v="1"/>
    <x v="11"/>
    <x v="1"/>
  </r>
  <r>
    <s v="DBK-CMP-100777"/>
    <s v="DBK-CUS-500777"/>
    <x v="5"/>
    <x v="4"/>
    <x v="312"/>
    <n v="8"/>
    <x v="1"/>
    <x v="272"/>
    <n v="4"/>
    <x v="1"/>
    <n v="0"/>
    <x v="4"/>
    <x v="0"/>
  </r>
  <r>
    <s v="DBK-CMP-100778"/>
    <s v="DBK-CUS-500778"/>
    <x v="2"/>
    <x v="3"/>
    <x v="263"/>
    <n v="34"/>
    <x v="1"/>
    <x v="202"/>
    <n v="5"/>
    <x v="1"/>
    <n v="1"/>
    <x v="7"/>
    <x v="1"/>
  </r>
  <r>
    <s v="DBK-CMP-100779"/>
    <s v="DBK-CUS-500779"/>
    <x v="1"/>
    <x v="1"/>
    <x v="97"/>
    <n v="22"/>
    <x v="1"/>
    <x v="273"/>
    <n v="3"/>
    <x v="1"/>
    <n v="0"/>
    <x v="10"/>
    <x v="0"/>
  </r>
  <r>
    <s v="DBK-CMP-100780"/>
    <s v="DBK-CUS-500780"/>
    <x v="5"/>
    <x v="1"/>
    <x v="257"/>
    <n v="7"/>
    <x v="1"/>
    <x v="191"/>
    <n v="4"/>
    <x v="1"/>
    <n v="0"/>
    <x v="2"/>
    <x v="0"/>
  </r>
  <r>
    <s v="DBK-CMP-100781"/>
    <s v="DBK-CUS-500781"/>
    <x v="5"/>
    <x v="0"/>
    <x v="70"/>
    <n v="8"/>
    <x v="1"/>
    <x v="207"/>
    <n v="4"/>
    <x v="1"/>
    <n v="0"/>
    <x v="4"/>
    <x v="0"/>
  </r>
  <r>
    <s v="DBK-CMP-100782"/>
    <s v="DBK-CUS-500782"/>
    <x v="3"/>
    <x v="1"/>
    <x v="18"/>
    <n v="40"/>
    <x v="1"/>
    <x v="195"/>
    <n v="2"/>
    <x v="1"/>
    <n v="1"/>
    <x v="3"/>
    <x v="1"/>
  </r>
  <r>
    <s v="DBK-CMP-100783"/>
    <s v="DBK-CUS-500783"/>
    <x v="7"/>
    <x v="1"/>
    <x v="108"/>
    <n v="2"/>
    <x v="1"/>
    <x v="78"/>
    <n v="5"/>
    <x v="1"/>
    <n v="0"/>
    <x v="7"/>
    <x v="0"/>
  </r>
  <r>
    <s v="DBK-CMP-100784"/>
    <s v="DBK-CUS-500784"/>
    <x v="2"/>
    <x v="2"/>
    <x v="136"/>
    <n v="84"/>
    <x v="1"/>
    <x v="274"/>
    <n v="1"/>
    <x v="1"/>
    <n v="3"/>
    <x v="8"/>
    <x v="2"/>
  </r>
  <r>
    <s v="DBK-CMP-100785"/>
    <s v="DBK-CUS-500785"/>
    <x v="7"/>
    <x v="2"/>
    <x v="133"/>
    <n v="12"/>
    <x v="1"/>
    <x v="101"/>
    <n v="5"/>
    <x v="1"/>
    <n v="0"/>
    <x v="1"/>
    <x v="0"/>
  </r>
  <r>
    <s v="DBK-CMP-100786"/>
    <s v="DBK-CUS-500786"/>
    <x v="1"/>
    <x v="0"/>
    <x v="304"/>
    <n v="19"/>
    <x v="1"/>
    <x v="275"/>
    <n v="5"/>
    <x v="1"/>
    <n v="0"/>
    <x v="8"/>
    <x v="0"/>
  </r>
  <r>
    <s v="DBK-CMP-100787"/>
    <s v="DBK-CUS-500787"/>
    <x v="3"/>
    <x v="4"/>
    <x v="54"/>
    <n v="72"/>
    <x v="1"/>
    <x v="34"/>
    <n v="5"/>
    <x v="1"/>
    <n v="3"/>
    <x v="2"/>
    <x v="1"/>
  </r>
  <r>
    <s v="DBK-CMP-100788"/>
    <s v="DBK-CUS-500788"/>
    <x v="0"/>
    <x v="3"/>
    <x v="287"/>
    <n v="48"/>
    <x v="1"/>
    <x v="201"/>
    <n v="2"/>
    <x v="1"/>
    <n v="2"/>
    <x v="11"/>
    <x v="1"/>
  </r>
  <r>
    <s v="DBK-CMP-100789"/>
    <s v="DBK-CUS-500789"/>
    <x v="1"/>
    <x v="1"/>
    <x v="79"/>
    <n v="10"/>
    <x v="2"/>
    <x v="0"/>
    <m/>
    <x v="0"/>
    <s v=" "/>
    <x v="2"/>
    <x v="0"/>
  </r>
  <r>
    <s v="DBK-CMP-100790"/>
    <s v="DBK-CUS-500790"/>
    <x v="5"/>
    <x v="2"/>
    <x v="190"/>
    <n v="9"/>
    <x v="1"/>
    <x v="276"/>
    <n v="4"/>
    <x v="1"/>
    <n v="0"/>
    <x v="7"/>
    <x v="0"/>
  </r>
  <r>
    <s v="DBK-CMP-100791"/>
    <s v="DBK-CUS-500791"/>
    <x v="1"/>
    <x v="4"/>
    <x v="93"/>
    <n v="10"/>
    <x v="1"/>
    <x v="87"/>
    <n v="4"/>
    <x v="1"/>
    <n v="0"/>
    <x v="1"/>
    <x v="0"/>
  </r>
  <r>
    <s v="DBK-CMP-100792"/>
    <s v="DBK-CUS-500792"/>
    <x v="3"/>
    <x v="1"/>
    <x v="139"/>
    <n v="9"/>
    <x v="1"/>
    <x v="244"/>
    <n v="4"/>
    <x v="1"/>
    <n v="0"/>
    <x v="8"/>
    <x v="0"/>
  </r>
  <r>
    <s v="DBK-CMP-100793"/>
    <s v="DBK-CUS-500793"/>
    <x v="2"/>
    <x v="3"/>
    <x v="113"/>
    <n v="76"/>
    <x v="0"/>
    <x v="0"/>
    <m/>
    <x v="0"/>
    <s v=" "/>
    <x v="4"/>
    <x v="2"/>
  </r>
  <r>
    <s v="DBK-CMP-100794"/>
    <s v="DBK-CUS-500794"/>
    <x v="1"/>
    <x v="1"/>
    <x v="317"/>
    <n v="32"/>
    <x v="0"/>
    <x v="0"/>
    <m/>
    <x v="0"/>
    <s v=" "/>
    <x v="5"/>
    <x v="1"/>
  </r>
  <r>
    <s v="DBK-CMP-100795"/>
    <s v="DBK-CUS-500795"/>
    <x v="6"/>
    <x v="2"/>
    <x v="168"/>
    <n v="15"/>
    <x v="1"/>
    <x v="23"/>
    <n v="3"/>
    <x v="1"/>
    <n v="0"/>
    <x v="9"/>
    <x v="0"/>
  </r>
  <r>
    <s v="DBK-CMP-100796"/>
    <s v="DBK-CUS-500796"/>
    <x v="1"/>
    <x v="0"/>
    <x v="77"/>
    <n v="11"/>
    <x v="1"/>
    <x v="19"/>
    <n v="5"/>
    <x v="1"/>
    <n v="0"/>
    <x v="10"/>
    <x v="0"/>
  </r>
  <r>
    <s v="DBK-CMP-100797"/>
    <s v="DBK-CUS-500797"/>
    <x v="7"/>
    <x v="0"/>
    <x v="37"/>
    <n v="8"/>
    <x v="2"/>
    <x v="0"/>
    <m/>
    <x v="0"/>
    <s v=" "/>
    <x v="0"/>
    <x v="0"/>
  </r>
  <r>
    <s v="DBK-CMP-100798"/>
    <s v="DBK-CUS-500798"/>
    <x v="4"/>
    <x v="0"/>
    <x v="125"/>
    <n v="43"/>
    <x v="1"/>
    <x v="93"/>
    <n v="2"/>
    <x v="1"/>
    <n v="1"/>
    <x v="7"/>
    <x v="1"/>
  </r>
  <r>
    <s v="DBK-CMP-100799"/>
    <s v="DBK-CUS-500799"/>
    <x v="3"/>
    <x v="0"/>
    <x v="88"/>
    <n v="44"/>
    <x v="2"/>
    <x v="0"/>
    <m/>
    <x v="0"/>
    <s v=" "/>
    <x v="6"/>
    <x v="1"/>
  </r>
  <r>
    <s v="DBK-CMP-100800"/>
    <s v="DBK-CUS-500800"/>
    <x v="2"/>
    <x v="2"/>
    <x v="91"/>
    <n v="84"/>
    <x v="2"/>
    <x v="0"/>
    <m/>
    <x v="0"/>
    <s v=" "/>
    <x v="0"/>
    <x v="2"/>
  </r>
  <r>
    <s v="DBK-CMP-100801"/>
    <s v="DBK-CUS-500801"/>
    <x v="4"/>
    <x v="4"/>
    <x v="318"/>
    <n v="39"/>
    <x v="1"/>
    <x v="277"/>
    <n v="2"/>
    <x v="1"/>
    <n v="1"/>
    <x v="11"/>
    <x v="1"/>
  </r>
  <r>
    <s v="DBK-CMP-100802"/>
    <s v="DBK-CUS-500802"/>
    <x v="7"/>
    <x v="1"/>
    <x v="43"/>
    <n v="24"/>
    <x v="2"/>
    <x v="0"/>
    <m/>
    <x v="0"/>
    <s v=" "/>
    <x v="11"/>
    <x v="0"/>
  </r>
  <r>
    <s v="DBK-CMP-100803"/>
    <s v="DBK-CUS-500803"/>
    <x v="4"/>
    <x v="3"/>
    <x v="56"/>
    <n v="18"/>
    <x v="2"/>
    <x v="0"/>
    <m/>
    <x v="0"/>
    <s v=" "/>
    <x v="7"/>
    <x v="0"/>
  </r>
  <r>
    <s v="DBK-CMP-100804"/>
    <s v="DBK-CUS-500804"/>
    <x v="0"/>
    <x v="4"/>
    <x v="249"/>
    <n v="43"/>
    <x v="1"/>
    <x v="213"/>
    <n v="2"/>
    <x v="1"/>
    <n v="1"/>
    <x v="3"/>
    <x v="1"/>
  </r>
  <r>
    <s v="DBK-CMP-100805"/>
    <s v="DBK-CUS-500805"/>
    <x v="5"/>
    <x v="1"/>
    <x v="319"/>
    <n v="12"/>
    <x v="1"/>
    <x v="134"/>
    <n v="4"/>
    <x v="1"/>
    <n v="0"/>
    <x v="7"/>
    <x v="0"/>
  </r>
  <r>
    <s v="DBK-CMP-100806"/>
    <s v="DBK-CUS-500806"/>
    <x v="7"/>
    <x v="0"/>
    <x v="53"/>
    <n v="24"/>
    <x v="1"/>
    <x v="278"/>
    <n v="3"/>
    <x v="1"/>
    <n v="1"/>
    <x v="4"/>
    <x v="0"/>
  </r>
  <r>
    <s v="DBK-CMP-100807"/>
    <s v="DBK-CUS-500807"/>
    <x v="4"/>
    <x v="2"/>
    <x v="121"/>
    <n v="40"/>
    <x v="1"/>
    <x v="89"/>
    <n v="2"/>
    <x v="1"/>
    <n v="1"/>
    <x v="0"/>
    <x v="1"/>
  </r>
  <r>
    <s v="DBK-CMP-100808"/>
    <s v="DBK-CUS-500808"/>
    <x v="2"/>
    <x v="2"/>
    <x v="204"/>
    <n v="44"/>
    <x v="0"/>
    <x v="0"/>
    <m/>
    <x v="0"/>
    <s v=" "/>
    <x v="5"/>
    <x v="1"/>
  </r>
  <r>
    <s v="DBK-CMP-100809"/>
    <s v="DBK-CUS-500809"/>
    <x v="2"/>
    <x v="4"/>
    <x v="228"/>
    <n v="70"/>
    <x v="1"/>
    <x v="213"/>
    <n v="5"/>
    <x v="1"/>
    <n v="2"/>
    <x v="3"/>
    <x v="1"/>
  </r>
  <r>
    <s v="DBK-CMP-100810"/>
    <s v="DBK-CUS-500810"/>
    <x v="5"/>
    <x v="2"/>
    <x v="103"/>
    <n v="10"/>
    <x v="1"/>
    <x v="151"/>
    <n v="4"/>
    <x v="1"/>
    <n v="0"/>
    <x v="5"/>
    <x v="0"/>
  </r>
  <r>
    <s v="DBK-CMP-100811"/>
    <s v="DBK-CUS-500811"/>
    <x v="7"/>
    <x v="4"/>
    <x v="250"/>
    <n v="13"/>
    <x v="1"/>
    <x v="5"/>
    <n v="3"/>
    <x v="1"/>
    <n v="0"/>
    <x v="7"/>
    <x v="0"/>
  </r>
  <r>
    <s v="DBK-CMP-100812"/>
    <s v="DBK-CUS-500812"/>
    <x v="4"/>
    <x v="0"/>
    <x v="288"/>
    <n v="49"/>
    <x v="2"/>
    <x v="0"/>
    <m/>
    <x v="0"/>
    <s v=" "/>
    <x v="11"/>
    <x v="1"/>
  </r>
  <r>
    <s v="DBK-CMP-100813"/>
    <s v="DBK-CUS-500813"/>
    <x v="0"/>
    <x v="2"/>
    <x v="320"/>
    <n v="9"/>
    <x v="0"/>
    <x v="0"/>
    <m/>
    <x v="0"/>
    <s v=" "/>
    <x v="5"/>
    <x v="0"/>
  </r>
  <r>
    <s v="DBK-CMP-100814"/>
    <s v="DBK-CUS-500814"/>
    <x v="2"/>
    <x v="0"/>
    <x v="321"/>
    <n v="80"/>
    <x v="1"/>
    <x v="100"/>
    <n v="1"/>
    <x v="1"/>
    <n v="3"/>
    <x v="6"/>
    <x v="2"/>
  </r>
  <r>
    <s v="DBK-CMP-100815"/>
    <s v="DBK-CUS-500815"/>
    <x v="0"/>
    <x v="4"/>
    <x v="322"/>
    <n v="16"/>
    <x v="0"/>
    <x v="0"/>
    <m/>
    <x v="0"/>
    <s v=" "/>
    <x v="2"/>
    <x v="0"/>
  </r>
  <r>
    <s v="DBK-CMP-100816"/>
    <s v="DBK-CUS-500816"/>
    <x v="3"/>
    <x v="1"/>
    <x v="218"/>
    <n v="28"/>
    <x v="1"/>
    <x v="203"/>
    <n v="2"/>
    <x v="1"/>
    <n v="1"/>
    <x v="0"/>
    <x v="1"/>
  </r>
  <r>
    <s v="DBK-CMP-100817"/>
    <s v="DBK-CUS-500817"/>
    <x v="1"/>
    <x v="4"/>
    <x v="297"/>
    <n v="19"/>
    <x v="1"/>
    <x v="200"/>
    <n v="5"/>
    <x v="1"/>
    <n v="0"/>
    <x v="8"/>
    <x v="0"/>
  </r>
  <r>
    <s v="DBK-CMP-100818"/>
    <s v="DBK-CUS-500818"/>
    <x v="0"/>
    <x v="3"/>
    <x v="68"/>
    <n v="8"/>
    <x v="1"/>
    <x v="45"/>
    <n v="4"/>
    <x v="1"/>
    <n v="0"/>
    <x v="11"/>
    <x v="0"/>
  </r>
  <r>
    <s v="DBK-CMP-100819"/>
    <s v="DBK-CUS-500819"/>
    <x v="0"/>
    <x v="2"/>
    <x v="182"/>
    <n v="12"/>
    <x v="1"/>
    <x v="199"/>
    <n v="4"/>
    <x v="1"/>
    <n v="0"/>
    <x v="0"/>
    <x v="0"/>
  </r>
  <r>
    <s v="DBK-CMP-100820"/>
    <s v="DBK-CUS-500820"/>
    <x v="7"/>
    <x v="3"/>
    <x v="141"/>
    <n v="9"/>
    <x v="1"/>
    <x v="143"/>
    <n v="4"/>
    <x v="1"/>
    <n v="0"/>
    <x v="9"/>
    <x v="0"/>
  </r>
  <r>
    <s v="DBK-CMP-100821"/>
    <s v="DBK-CUS-500821"/>
    <x v="0"/>
    <x v="1"/>
    <x v="183"/>
    <n v="15"/>
    <x v="1"/>
    <x v="137"/>
    <n v="3"/>
    <x v="1"/>
    <n v="0"/>
    <x v="8"/>
    <x v="0"/>
  </r>
  <r>
    <s v="DBK-CMP-100822"/>
    <s v="DBK-CUS-500822"/>
    <x v="1"/>
    <x v="3"/>
    <x v="83"/>
    <n v="30"/>
    <x v="1"/>
    <x v="55"/>
    <n v="2"/>
    <x v="1"/>
    <n v="1"/>
    <x v="6"/>
    <x v="1"/>
  </r>
  <r>
    <s v="DBK-CMP-100823"/>
    <s v="DBK-CUS-500823"/>
    <x v="4"/>
    <x v="4"/>
    <x v="254"/>
    <n v="56"/>
    <x v="2"/>
    <x v="0"/>
    <m/>
    <x v="0"/>
    <s v=" "/>
    <x v="6"/>
    <x v="1"/>
  </r>
  <r>
    <s v="DBK-CMP-100824"/>
    <s v="DBK-CUS-500824"/>
    <x v="5"/>
    <x v="0"/>
    <x v="175"/>
    <n v="7"/>
    <x v="1"/>
    <x v="131"/>
    <n v="4"/>
    <x v="1"/>
    <n v="0"/>
    <x v="10"/>
    <x v="0"/>
  </r>
  <r>
    <s v="DBK-CMP-100825"/>
    <s v="DBK-CUS-500825"/>
    <x v="4"/>
    <x v="4"/>
    <x v="126"/>
    <n v="10"/>
    <x v="1"/>
    <x v="94"/>
    <n v="4"/>
    <x v="1"/>
    <n v="0"/>
    <x v="8"/>
    <x v="0"/>
  </r>
  <r>
    <s v="DBK-CMP-100826"/>
    <s v="DBK-CUS-500826"/>
    <x v="3"/>
    <x v="3"/>
    <x v="74"/>
    <n v="68"/>
    <x v="1"/>
    <x v="235"/>
    <n v="5"/>
    <x v="1"/>
    <n v="2"/>
    <x v="0"/>
    <x v="1"/>
  </r>
  <r>
    <s v="DBK-CMP-100827"/>
    <s v="DBK-CUS-500827"/>
    <x v="7"/>
    <x v="3"/>
    <x v="222"/>
    <n v="23"/>
    <x v="1"/>
    <x v="162"/>
    <n v="5"/>
    <x v="1"/>
    <n v="0"/>
    <x v="2"/>
    <x v="0"/>
  </r>
  <r>
    <s v="DBK-CMP-100828"/>
    <s v="DBK-CUS-500828"/>
    <x v="3"/>
    <x v="0"/>
    <x v="180"/>
    <n v="40"/>
    <x v="0"/>
    <x v="0"/>
    <m/>
    <x v="0"/>
    <s v=" "/>
    <x v="9"/>
    <x v="1"/>
  </r>
  <r>
    <s v="DBK-CMP-100829"/>
    <s v="DBK-CUS-500829"/>
    <x v="7"/>
    <x v="2"/>
    <x v="291"/>
    <n v="9"/>
    <x v="1"/>
    <x v="279"/>
    <n v="4"/>
    <x v="1"/>
    <n v="0"/>
    <x v="3"/>
    <x v="0"/>
  </r>
  <r>
    <s v="DBK-CMP-100830"/>
    <s v="DBK-CUS-500830"/>
    <x v="4"/>
    <x v="3"/>
    <x v="97"/>
    <n v="15"/>
    <x v="1"/>
    <x v="273"/>
    <n v="3"/>
    <x v="1"/>
    <n v="0"/>
    <x v="10"/>
    <x v="0"/>
  </r>
  <r>
    <s v="DBK-CMP-100831"/>
    <s v="DBK-CUS-500831"/>
    <x v="2"/>
    <x v="1"/>
    <x v="246"/>
    <n v="65"/>
    <x v="1"/>
    <x v="280"/>
    <n v="1"/>
    <x v="1"/>
    <n v="2"/>
    <x v="1"/>
    <x v="1"/>
  </r>
  <r>
    <s v="DBK-CMP-100832"/>
    <s v="DBK-CUS-500832"/>
    <x v="6"/>
    <x v="3"/>
    <x v="280"/>
    <n v="6"/>
    <x v="1"/>
    <x v="278"/>
    <n v="5"/>
    <x v="1"/>
    <n v="0"/>
    <x v="4"/>
    <x v="0"/>
  </r>
  <r>
    <s v="DBK-CMP-100833"/>
    <s v="DBK-CUS-500833"/>
    <x v="4"/>
    <x v="3"/>
    <x v="216"/>
    <n v="51"/>
    <x v="1"/>
    <x v="281"/>
    <n v="1"/>
    <x v="1"/>
    <n v="2"/>
    <x v="2"/>
    <x v="1"/>
  </r>
  <r>
    <s v="DBK-CMP-100834"/>
    <s v="DBK-CUS-500834"/>
    <x v="7"/>
    <x v="0"/>
    <x v="323"/>
    <n v="2"/>
    <x v="1"/>
    <x v="194"/>
    <n v="5"/>
    <x v="1"/>
    <n v="0"/>
    <x v="7"/>
    <x v="0"/>
  </r>
  <r>
    <s v="DBK-CMP-100835"/>
    <s v="DBK-CUS-500835"/>
    <x v="2"/>
    <x v="3"/>
    <x v="174"/>
    <n v="94"/>
    <x v="0"/>
    <x v="0"/>
    <m/>
    <x v="0"/>
    <s v=" "/>
    <x v="0"/>
    <x v="2"/>
  </r>
  <r>
    <s v="DBK-CMP-100836"/>
    <s v="DBK-CUS-500836"/>
    <x v="7"/>
    <x v="1"/>
    <x v="192"/>
    <n v="13"/>
    <x v="1"/>
    <x v="282"/>
    <n v="3"/>
    <x v="1"/>
    <n v="0"/>
    <x v="10"/>
    <x v="0"/>
  </r>
  <r>
    <s v="DBK-CMP-100837"/>
    <s v="DBK-CUS-500837"/>
    <x v="2"/>
    <x v="4"/>
    <x v="86"/>
    <n v="60"/>
    <x v="0"/>
    <x v="0"/>
    <m/>
    <x v="0"/>
    <s v=" "/>
    <x v="11"/>
    <x v="1"/>
  </r>
  <r>
    <s v="DBK-CMP-100838"/>
    <s v="DBK-CUS-500838"/>
    <x v="4"/>
    <x v="0"/>
    <x v="199"/>
    <n v="49"/>
    <x v="1"/>
    <x v="207"/>
    <n v="1"/>
    <x v="1"/>
    <n v="2"/>
    <x v="4"/>
    <x v="1"/>
  </r>
  <r>
    <s v="DBK-CMP-100839"/>
    <s v="DBK-CUS-500839"/>
    <x v="5"/>
    <x v="2"/>
    <x v="55"/>
    <n v="10"/>
    <x v="2"/>
    <x v="0"/>
    <m/>
    <x v="0"/>
    <s v=" "/>
    <x v="4"/>
    <x v="0"/>
  </r>
  <r>
    <s v="DBK-CMP-100840"/>
    <s v="DBK-CUS-500840"/>
    <x v="2"/>
    <x v="0"/>
    <x v="159"/>
    <n v="26"/>
    <x v="1"/>
    <x v="143"/>
    <n v="2"/>
    <x v="1"/>
    <n v="1"/>
    <x v="9"/>
    <x v="1"/>
  </r>
  <r>
    <s v="DBK-CMP-100841"/>
    <s v="DBK-CUS-500841"/>
    <x v="5"/>
    <x v="0"/>
    <x v="45"/>
    <n v="3"/>
    <x v="0"/>
    <x v="0"/>
    <m/>
    <x v="0"/>
    <s v=" "/>
    <x v="4"/>
    <x v="0"/>
  </r>
  <r>
    <s v="DBK-CMP-100842"/>
    <s v="DBK-CUS-500842"/>
    <x v="7"/>
    <x v="0"/>
    <x v="320"/>
    <n v="18"/>
    <x v="2"/>
    <x v="0"/>
    <m/>
    <x v="0"/>
    <s v=" "/>
    <x v="5"/>
    <x v="0"/>
  </r>
  <r>
    <s v="DBK-CMP-100843"/>
    <s v="DBK-CUS-500843"/>
    <x v="3"/>
    <x v="2"/>
    <x v="163"/>
    <n v="54"/>
    <x v="2"/>
    <x v="0"/>
    <m/>
    <x v="0"/>
    <s v=" "/>
    <x v="8"/>
    <x v="1"/>
  </r>
  <r>
    <s v="DBK-CMP-100844"/>
    <s v="DBK-CUS-500844"/>
    <x v="1"/>
    <x v="2"/>
    <x v="56"/>
    <n v="6"/>
    <x v="1"/>
    <x v="35"/>
    <n v="5"/>
    <x v="1"/>
    <n v="0"/>
    <x v="7"/>
    <x v="0"/>
  </r>
  <r>
    <s v="DBK-CMP-100845"/>
    <s v="DBK-CUS-500845"/>
    <x v="5"/>
    <x v="2"/>
    <x v="127"/>
    <n v="10"/>
    <x v="1"/>
    <x v="95"/>
    <n v="4"/>
    <x v="1"/>
    <n v="0"/>
    <x v="10"/>
    <x v="0"/>
  </r>
  <r>
    <s v="DBK-CMP-100846"/>
    <s v="DBK-CUS-500846"/>
    <x v="3"/>
    <x v="1"/>
    <x v="265"/>
    <n v="28"/>
    <x v="2"/>
    <x v="0"/>
    <m/>
    <x v="0"/>
    <s v=" "/>
    <x v="11"/>
    <x v="1"/>
  </r>
  <r>
    <s v="DBK-CMP-100847"/>
    <s v="DBK-CUS-500847"/>
    <x v="0"/>
    <x v="1"/>
    <x v="145"/>
    <n v="11"/>
    <x v="1"/>
    <x v="114"/>
    <n v="5"/>
    <x v="1"/>
    <n v="0"/>
    <x v="11"/>
    <x v="0"/>
  </r>
  <r>
    <s v="DBK-CMP-100848"/>
    <s v="DBK-CUS-500848"/>
    <x v="7"/>
    <x v="3"/>
    <x v="262"/>
    <n v="4"/>
    <x v="1"/>
    <x v="283"/>
    <n v="5"/>
    <x v="1"/>
    <n v="0"/>
    <x v="8"/>
    <x v="0"/>
  </r>
  <r>
    <s v="DBK-CMP-100849"/>
    <s v="DBK-CUS-500849"/>
    <x v="7"/>
    <x v="1"/>
    <x v="301"/>
    <n v="11"/>
    <x v="1"/>
    <x v="195"/>
    <n v="4"/>
    <x v="1"/>
    <n v="0"/>
    <x v="3"/>
    <x v="0"/>
  </r>
  <r>
    <s v="DBK-CMP-100850"/>
    <s v="DBK-CUS-500850"/>
    <x v="1"/>
    <x v="2"/>
    <x v="65"/>
    <n v="10"/>
    <x v="1"/>
    <x v="258"/>
    <n v="4"/>
    <x v="1"/>
    <n v="0"/>
    <x v="3"/>
    <x v="0"/>
  </r>
  <r>
    <s v="DBK-CMP-100851"/>
    <s v="DBK-CUS-500851"/>
    <x v="5"/>
    <x v="3"/>
    <x v="228"/>
    <n v="2"/>
    <x v="1"/>
    <x v="76"/>
    <n v="5"/>
    <x v="1"/>
    <n v="0"/>
    <x v="3"/>
    <x v="0"/>
  </r>
  <r>
    <s v="DBK-CMP-100852"/>
    <s v="DBK-CUS-500852"/>
    <x v="7"/>
    <x v="4"/>
    <x v="284"/>
    <n v="10"/>
    <x v="1"/>
    <x v="211"/>
    <n v="4"/>
    <x v="1"/>
    <n v="0"/>
    <x v="8"/>
    <x v="0"/>
  </r>
  <r>
    <s v="DBK-CMP-100853"/>
    <s v="DBK-CUS-500853"/>
    <x v="6"/>
    <x v="3"/>
    <x v="4"/>
    <n v="12"/>
    <x v="0"/>
    <x v="0"/>
    <m/>
    <x v="0"/>
    <s v=" "/>
    <x v="3"/>
    <x v="0"/>
  </r>
  <r>
    <s v="DBK-CMP-100854"/>
    <s v="DBK-CUS-500854"/>
    <x v="2"/>
    <x v="0"/>
    <x v="172"/>
    <n v="34"/>
    <x v="1"/>
    <x v="268"/>
    <n v="2"/>
    <x v="1"/>
    <n v="1"/>
    <x v="6"/>
    <x v="1"/>
  </r>
  <r>
    <s v="DBK-CMP-100855"/>
    <s v="DBK-CUS-500855"/>
    <x v="6"/>
    <x v="2"/>
    <x v="148"/>
    <n v="9"/>
    <x v="2"/>
    <x v="0"/>
    <m/>
    <x v="0"/>
    <s v=" "/>
    <x v="3"/>
    <x v="0"/>
  </r>
  <r>
    <s v="DBK-CMP-100856"/>
    <s v="DBK-CUS-500856"/>
    <x v="2"/>
    <x v="4"/>
    <x v="283"/>
    <n v="68"/>
    <x v="1"/>
    <x v="284"/>
    <n v="1"/>
    <x v="1"/>
    <n v="2"/>
    <x v="10"/>
    <x v="1"/>
  </r>
  <r>
    <s v="DBK-CMP-100857"/>
    <s v="DBK-CUS-500857"/>
    <x v="3"/>
    <x v="2"/>
    <x v="279"/>
    <n v="58"/>
    <x v="0"/>
    <x v="0"/>
    <m/>
    <x v="0"/>
    <s v=" "/>
    <x v="5"/>
    <x v="1"/>
  </r>
  <r>
    <s v="DBK-CMP-100858"/>
    <s v="DBK-CUS-500858"/>
    <x v="0"/>
    <x v="1"/>
    <x v="305"/>
    <n v="44"/>
    <x v="1"/>
    <x v="85"/>
    <n v="2"/>
    <x v="1"/>
    <n v="1"/>
    <x v="4"/>
    <x v="1"/>
  </r>
  <r>
    <s v="DBK-CMP-100859"/>
    <s v="DBK-CUS-500859"/>
    <x v="1"/>
    <x v="4"/>
    <x v="274"/>
    <n v="20"/>
    <x v="2"/>
    <x v="0"/>
    <m/>
    <x v="0"/>
    <s v=" "/>
    <x v="5"/>
    <x v="0"/>
  </r>
  <r>
    <s v="DBK-CMP-100860"/>
    <s v="DBK-CUS-500860"/>
    <x v="5"/>
    <x v="2"/>
    <x v="66"/>
    <n v="4"/>
    <x v="1"/>
    <x v="43"/>
    <n v="5"/>
    <x v="1"/>
    <n v="0"/>
    <x v="2"/>
    <x v="0"/>
  </r>
  <r>
    <s v="DBK-CMP-100861"/>
    <s v="DBK-CUS-500861"/>
    <x v="7"/>
    <x v="4"/>
    <x v="3"/>
    <n v="4"/>
    <x v="0"/>
    <x v="0"/>
    <m/>
    <x v="0"/>
    <s v=" "/>
    <x v="2"/>
    <x v="0"/>
  </r>
  <r>
    <s v="DBK-CMP-100862"/>
    <s v="DBK-CUS-500862"/>
    <x v="2"/>
    <x v="1"/>
    <x v="1"/>
    <n v="93"/>
    <x v="1"/>
    <x v="193"/>
    <n v="1"/>
    <x v="1"/>
    <n v="3"/>
    <x v="0"/>
    <x v="2"/>
  </r>
  <r>
    <s v="DBK-CMP-100863"/>
    <s v="DBK-CUS-500863"/>
    <x v="3"/>
    <x v="2"/>
    <x v="324"/>
    <n v="16"/>
    <x v="1"/>
    <x v="285"/>
    <n v="3"/>
    <x v="1"/>
    <n v="0"/>
    <x v="0"/>
    <x v="0"/>
  </r>
  <r>
    <s v="DBK-CMP-100864"/>
    <s v="DBK-CUS-500864"/>
    <x v="7"/>
    <x v="4"/>
    <x v="59"/>
    <n v="9"/>
    <x v="1"/>
    <x v="38"/>
    <n v="4"/>
    <x v="1"/>
    <n v="0"/>
    <x v="11"/>
    <x v="0"/>
  </r>
  <r>
    <s v="DBK-CMP-100865"/>
    <s v="DBK-CUS-500865"/>
    <x v="2"/>
    <x v="3"/>
    <x v="56"/>
    <n v="39"/>
    <x v="1"/>
    <x v="134"/>
    <n v="5"/>
    <x v="1"/>
    <n v="1"/>
    <x v="7"/>
    <x v="1"/>
  </r>
  <r>
    <s v="DBK-CMP-100866"/>
    <s v="DBK-CUS-500866"/>
    <x v="6"/>
    <x v="3"/>
    <x v="198"/>
    <n v="15"/>
    <x v="2"/>
    <x v="0"/>
    <m/>
    <x v="0"/>
    <s v=" "/>
    <x v="5"/>
    <x v="0"/>
  </r>
  <r>
    <s v="DBK-CMP-100867"/>
    <s v="DBK-CUS-500867"/>
    <x v="7"/>
    <x v="1"/>
    <x v="12"/>
    <n v="21"/>
    <x v="0"/>
    <x v="0"/>
    <m/>
    <x v="0"/>
    <s v=" "/>
    <x v="9"/>
    <x v="0"/>
  </r>
  <r>
    <s v="DBK-CMP-100868"/>
    <s v="DBK-CUS-500868"/>
    <x v="6"/>
    <x v="4"/>
    <x v="293"/>
    <n v="13"/>
    <x v="1"/>
    <x v="89"/>
    <n v="3"/>
    <x v="1"/>
    <n v="0"/>
    <x v="0"/>
    <x v="0"/>
  </r>
  <r>
    <s v="DBK-CMP-100869"/>
    <s v="DBK-CUS-500869"/>
    <x v="0"/>
    <x v="0"/>
    <x v="9"/>
    <n v="30"/>
    <x v="1"/>
    <x v="97"/>
    <n v="2"/>
    <x v="1"/>
    <n v="1"/>
    <x v="3"/>
    <x v="1"/>
  </r>
  <r>
    <s v="DBK-CMP-100870"/>
    <s v="DBK-CUS-500870"/>
    <x v="6"/>
    <x v="2"/>
    <x v="262"/>
    <n v="3"/>
    <x v="1"/>
    <x v="283"/>
    <n v="5"/>
    <x v="1"/>
    <n v="0"/>
    <x v="8"/>
    <x v="0"/>
  </r>
  <r>
    <s v="DBK-CMP-100871"/>
    <s v="DBK-CUS-500871"/>
    <x v="6"/>
    <x v="2"/>
    <x v="66"/>
    <n v="18"/>
    <x v="1"/>
    <x v="43"/>
    <n v="3"/>
    <x v="1"/>
    <n v="0"/>
    <x v="2"/>
    <x v="0"/>
  </r>
  <r>
    <s v="DBK-CMP-100872"/>
    <s v="DBK-CUS-500872"/>
    <x v="7"/>
    <x v="3"/>
    <x v="325"/>
    <n v="10"/>
    <x v="1"/>
    <x v="221"/>
    <n v="4"/>
    <x v="1"/>
    <n v="0"/>
    <x v="10"/>
    <x v="0"/>
  </r>
  <r>
    <s v="DBK-CMP-100873"/>
    <s v="DBK-CUS-500873"/>
    <x v="0"/>
    <x v="4"/>
    <x v="246"/>
    <n v="33"/>
    <x v="1"/>
    <x v="286"/>
    <n v="5"/>
    <x v="1"/>
    <n v="1"/>
    <x v="1"/>
    <x v="1"/>
  </r>
  <r>
    <s v="DBK-CMP-100874"/>
    <s v="DBK-CUS-500874"/>
    <x v="4"/>
    <x v="2"/>
    <x v="0"/>
    <n v="26"/>
    <x v="2"/>
    <x v="0"/>
    <m/>
    <x v="0"/>
    <s v=" "/>
    <x v="0"/>
    <x v="1"/>
  </r>
  <r>
    <s v="DBK-CMP-100875"/>
    <s v="DBK-CUS-500875"/>
    <x v="5"/>
    <x v="2"/>
    <x v="134"/>
    <n v="7"/>
    <x v="1"/>
    <x v="102"/>
    <n v="4"/>
    <x v="1"/>
    <n v="0"/>
    <x v="6"/>
    <x v="0"/>
  </r>
  <r>
    <s v="DBK-CMP-100876"/>
    <s v="DBK-CUS-500876"/>
    <x v="0"/>
    <x v="0"/>
    <x v="266"/>
    <n v="12"/>
    <x v="1"/>
    <x v="287"/>
    <n v="4"/>
    <x v="1"/>
    <n v="0"/>
    <x v="1"/>
    <x v="0"/>
  </r>
  <r>
    <s v="DBK-CMP-100877"/>
    <s v="DBK-CUS-500877"/>
    <x v="0"/>
    <x v="4"/>
    <x v="63"/>
    <n v="6"/>
    <x v="2"/>
    <x v="0"/>
    <m/>
    <x v="0"/>
    <s v=" "/>
    <x v="10"/>
    <x v="0"/>
  </r>
  <r>
    <s v="DBK-CMP-100878"/>
    <s v="DBK-CUS-500878"/>
    <x v="7"/>
    <x v="0"/>
    <x v="270"/>
    <n v="14"/>
    <x v="1"/>
    <x v="288"/>
    <n v="3"/>
    <x v="1"/>
    <n v="0"/>
    <x v="6"/>
    <x v="0"/>
  </r>
  <r>
    <s v="DBK-CMP-100879"/>
    <s v="DBK-CUS-500879"/>
    <x v="0"/>
    <x v="2"/>
    <x v="159"/>
    <n v="32"/>
    <x v="0"/>
    <x v="0"/>
    <m/>
    <x v="0"/>
    <s v=" "/>
    <x v="9"/>
    <x v="1"/>
  </r>
  <r>
    <s v="DBK-CMP-100880"/>
    <s v="DBK-CUS-500880"/>
    <x v="0"/>
    <x v="0"/>
    <x v="156"/>
    <n v="38"/>
    <x v="0"/>
    <x v="0"/>
    <m/>
    <x v="0"/>
    <s v=" "/>
    <x v="7"/>
    <x v="1"/>
  </r>
  <r>
    <s v="DBK-CMP-100881"/>
    <s v="DBK-CUS-500881"/>
    <x v="2"/>
    <x v="0"/>
    <x v="28"/>
    <n v="88"/>
    <x v="1"/>
    <x v="17"/>
    <n v="5"/>
    <x v="1"/>
    <n v="3"/>
    <x v="7"/>
    <x v="2"/>
  </r>
  <r>
    <s v="DBK-CMP-100882"/>
    <s v="DBK-CUS-500882"/>
    <x v="6"/>
    <x v="1"/>
    <x v="157"/>
    <n v="20"/>
    <x v="0"/>
    <x v="0"/>
    <m/>
    <x v="0"/>
    <s v=" "/>
    <x v="6"/>
    <x v="0"/>
  </r>
  <r>
    <s v="DBK-CMP-100883"/>
    <s v="DBK-CUS-500883"/>
    <x v="1"/>
    <x v="1"/>
    <x v="231"/>
    <n v="31"/>
    <x v="2"/>
    <x v="0"/>
    <m/>
    <x v="0"/>
    <s v=" "/>
    <x v="8"/>
    <x v="1"/>
  </r>
  <r>
    <s v="DBK-CMP-100884"/>
    <s v="DBK-CUS-500884"/>
    <x v="6"/>
    <x v="0"/>
    <x v="154"/>
    <n v="17"/>
    <x v="2"/>
    <x v="0"/>
    <m/>
    <x v="0"/>
    <s v=" "/>
    <x v="1"/>
    <x v="0"/>
  </r>
  <r>
    <s v="DBK-CMP-100885"/>
    <s v="DBK-CUS-500885"/>
    <x v="3"/>
    <x v="4"/>
    <x v="326"/>
    <n v="58"/>
    <x v="1"/>
    <x v="289"/>
    <n v="1"/>
    <x v="1"/>
    <n v="2"/>
    <x v="0"/>
    <x v="1"/>
  </r>
  <r>
    <s v="DBK-CMP-100886"/>
    <s v="DBK-CUS-500886"/>
    <x v="4"/>
    <x v="0"/>
    <x v="293"/>
    <n v="62"/>
    <x v="1"/>
    <x v="49"/>
    <n v="1"/>
    <x v="1"/>
    <n v="2"/>
    <x v="0"/>
    <x v="1"/>
  </r>
  <r>
    <s v="DBK-CMP-100887"/>
    <s v="DBK-CUS-500887"/>
    <x v="0"/>
    <x v="3"/>
    <x v="28"/>
    <n v="39"/>
    <x v="1"/>
    <x v="171"/>
    <n v="5"/>
    <x v="1"/>
    <n v="1"/>
    <x v="7"/>
    <x v="1"/>
  </r>
  <r>
    <s v="DBK-CMP-100888"/>
    <s v="DBK-CUS-500888"/>
    <x v="1"/>
    <x v="2"/>
    <x v="113"/>
    <n v="32"/>
    <x v="1"/>
    <x v="155"/>
    <n v="5"/>
    <x v="1"/>
    <n v="1"/>
    <x v="4"/>
    <x v="1"/>
  </r>
  <r>
    <s v="DBK-CMP-100889"/>
    <s v="DBK-CUS-500889"/>
    <x v="6"/>
    <x v="0"/>
    <x v="320"/>
    <n v="16"/>
    <x v="1"/>
    <x v="290"/>
    <n v="3"/>
    <x v="1"/>
    <n v="0"/>
    <x v="5"/>
    <x v="0"/>
  </r>
  <r>
    <s v="DBK-CMP-100890"/>
    <s v="DBK-CUS-500890"/>
    <x v="2"/>
    <x v="4"/>
    <x v="106"/>
    <n v="27"/>
    <x v="1"/>
    <x v="30"/>
    <n v="2"/>
    <x v="1"/>
    <n v="1"/>
    <x v="11"/>
    <x v="1"/>
  </r>
  <r>
    <s v="DBK-CMP-100891"/>
    <s v="DBK-CUS-500891"/>
    <x v="5"/>
    <x v="2"/>
    <x v="33"/>
    <n v="10"/>
    <x v="1"/>
    <x v="22"/>
    <n v="4"/>
    <x v="1"/>
    <n v="0"/>
    <x v="8"/>
    <x v="0"/>
  </r>
  <r>
    <s v="DBK-CMP-100892"/>
    <s v="DBK-CUS-500892"/>
    <x v="7"/>
    <x v="4"/>
    <x v="128"/>
    <n v="18"/>
    <x v="1"/>
    <x v="96"/>
    <n v="3"/>
    <x v="1"/>
    <n v="0"/>
    <x v="10"/>
    <x v="0"/>
  </r>
  <r>
    <s v="DBK-CMP-100893"/>
    <s v="DBK-CUS-500893"/>
    <x v="0"/>
    <x v="1"/>
    <x v="16"/>
    <n v="15"/>
    <x v="0"/>
    <x v="0"/>
    <m/>
    <x v="0"/>
    <s v=" "/>
    <x v="5"/>
    <x v="0"/>
  </r>
  <r>
    <s v="DBK-CMP-100894"/>
    <s v="DBK-CUS-500894"/>
    <x v="6"/>
    <x v="0"/>
    <x v="41"/>
    <n v="7"/>
    <x v="1"/>
    <x v="28"/>
    <n v="5"/>
    <x v="1"/>
    <n v="0"/>
    <x v="4"/>
    <x v="0"/>
  </r>
  <r>
    <s v="DBK-CMP-100895"/>
    <s v="DBK-CUS-500895"/>
    <x v="3"/>
    <x v="0"/>
    <x v="85"/>
    <n v="40"/>
    <x v="1"/>
    <x v="249"/>
    <n v="2"/>
    <x v="1"/>
    <n v="1"/>
    <x v="0"/>
    <x v="1"/>
  </r>
  <r>
    <s v="DBK-CMP-100896"/>
    <s v="DBK-CUS-500896"/>
    <x v="1"/>
    <x v="1"/>
    <x v="150"/>
    <n v="13"/>
    <x v="1"/>
    <x v="291"/>
    <n v="3"/>
    <x v="1"/>
    <n v="0"/>
    <x v="10"/>
    <x v="0"/>
  </r>
  <r>
    <s v="DBK-CMP-100897"/>
    <s v="DBK-CUS-500897"/>
    <x v="3"/>
    <x v="0"/>
    <x v="190"/>
    <n v="20"/>
    <x v="1"/>
    <x v="276"/>
    <n v="3"/>
    <x v="1"/>
    <n v="0"/>
    <x v="7"/>
    <x v="0"/>
  </r>
  <r>
    <s v="DBK-CMP-100898"/>
    <s v="DBK-CUS-500898"/>
    <x v="6"/>
    <x v="1"/>
    <x v="287"/>
    <n v="15"/>
    <x v="0"/>
    <x v="0"/>
    <m/>
    <x v="0"/>
    <s v=" "/>
    <x v="11"/>
    <x v="0"/>
  </r>
  <r>
    <s v="DBK-CMP-100899"/>
    <s v="DBK-CUS-500899"/>
    <x v="1"/>
    <x v="3"/>
    <x v="233"/>
    <n v="19"/>
    <x v="1"/>
    <x v="171"/>
    <n v="3"/>
    <x v="1"/>
    <n v="0"/>
    <x v="9"/>
    <x v="0"/>
  </r>
  <r>
    <s v="DBK-CMP-100900"/>
    <s v="DBK-CUS-500900"/>
    <x v="3"/>
    <x v="4"/>
    <x v="223"/>
    <n v="45"/>
    <x v="1"/>
    <x v="21"/>
    <n v="2"/>
    <x v="1"/>
    <n v="1"/>
    <x v="3"/>
    <x v="1"/>
  </r>
  <r>
    <s v="DBK-CMP-100901"/>
    <s v="DBK-CUS-500901"/>
    <x v="7"/>
    <x v="0"/>
    <x v="327"/>
    <n v="4"/>
    <x v="0"/>
    <x v="0"/>
    <m/>
    <x v="0"/>
    <s v=" "/>
    <x v="1"/>
    <x v="0"/>
  </r>
  <r>
    <s v="DBK-CMP-100902"/>
    <s v="DBK-CUS-500902"/>
    <x v="2"/>
    <x v="4"/>
    <x v="236"/>
    <n v="94"/>
    <x v="0"/>
    <x v="0"/>
    <m/>
    <x v="0"/>
    <s v=" "/>
    <x v="10"/>
    <x v="2"/>
  </r>
  <r>
    <s v="DBK-CMP-100903"/>
    <s v="DBK-CUS-500903"/>
    <x v="6"/>
    <x v="4"/>
    <x v="275"/>
    <n v="20"/>
    <x v="1"/>
    <x v="292"/>
    <n v="3"/>
    <x v="1"/>
    <n v="0"/>
    <x v="8"/>
    <x v="0"/>
  </r>
  <r>
    <s v="DBK-CMP-100904"/>
    <s v="DBK-CUS-500904"/>
    <x v="2"/>
    <x v="1"/>
    <x v="5"/>
    <n v="45"/>
    <x v="2"/>
    <x v="0"/>
    <m/>
    <x v="0"/>
    <s v=" "/>
    <x v="4"/>
    <x v="1"/>
  </r>
  <r>
    <s v="DBK-CMP-100905"/>
    <s v="DBK-CUS-500905"/>
    <x v="3"/>
    <x v="2"/>
    <x v="233"/>
    <n v="10"/>
    <x v="2"/>
    <x v="0"/>
    <m/>
    <x v="0"/>
    <s v=" "/>
    <x v="9"/>
    <x v="0"/>
  </r>
  <r>
    <s v="DBK-CMP-100906"/>
    <s v="DBK-CUS-500906"/>
    <x v="5"/>
    <x v="2"/>
    <x v="84"/>
    <n v="8"/>
    <x v="1"/>
    <x v="241"/>
    <n v="4"/>
    <x v="1"/>
    <n v="0"/>
    <x v="1"/>
    <x v="0"/>
  </r>
  <r>
    <s v="DBK-CMP-100907"/>
    <s v="DBK-CUS-500907"/>
    <x v="5"/>
    <x v="4"/>
    <x v="95"/>
    <n v="11"/>
    <x v="0"/>
    <x v="0"/>
    <m/>
    <x v="0"/>
    <s v=" "/>
    <x v="11"/>
    <x v="0"/>
  </r>
  <r>
    <s v="DBK-CMP-100908"/>
    <s v="DBK-CUS-500908"/>
    <x v="1"/>
    <x v="0"/>
    <x v="137"/>
    <n v="12"/>
    <x v="0"/>
    <x v="0"/>
    <m/>
    <x v="0"/>
    <s v=" "/>
    <x v="7"/>
    <x v="0"/>
  </r>
  <r>
    <s v="DBK-CMP-100909"/>
    <s v="DBK-CUS-500909"/>
    <x v="2"/>
    <x v="0"/>
    <x v="75"/>
    <n v="32"/>
    <x v="1"/>
    <x v="270"/>
    <n v="2"/>
    <x v="1"/>
    <n v="1"/>
    <x v="3"/>
    <x v="1"/>
  </r>
  <r>
    <s v="DBK-CMP-100910"/>
    <s v="DBK-CUS-500910"/>
    <x v="3"/>
    <x v="1"/>
    <x v="251"/>
    <n v="54"/>
    <x v="0"/>
    <x v="0"/>
    <m/>
    <x v="0"/>
    <s v=" "/>
    <x v="9"/>
    <x v="1"/>
  </r>
  <r>
    <s v="DBK-CMP-100911"/>
    <s v="DBK-CUS-500911"/>
    <x v="0"/>
    <x v="3"/>
    <x v="299"/>
    <n v="13"/>
    <x v="1"/>
    <x v="293"/>
    <n v="3"/>
    <x v="1"/>
    <n v="0"/>
    <x v="2"/>
    <x v="0"/>
  </r>
  <r>
    <s v="DBK-CMP-100912"/>
    <s v="DBK-CUS-500912"/>
    <x v="2"/>
    <x v="4"/>
    <x v="8"/>
    <n v="53"/>
    <x v="1"/>
    <x v="294"/>
    <n v="5"/>
    <x v="1"/>
    <n v="2"/>
    <x v="7"/>
    <x v="1"/>
  </r>
  <r>
    <s v="DBK-CMP-100913"/>
    <s v="DBK-CUS-500913"/>
    <x v="4"/>
    <x v="0"/>
    <x v="29"/>
    <n v="72"/>
    <x v="0"/>
    <x v="0"/>
    <m/>
    <x v="0"/>
    <s v=" "/>
    <x v="3"/>
    <x v="1"/>
  </r>
  <r>
    <s v="DBK-CMP-100914"/>
    <s v="DBK-CUS-500914"/>
    <x v="6"/>
    <x v="2"/>
    <x v="326"/>
    <n v="5"/>
    <x v="1"/>
    <x v="233"/>
    <n v="5"/>
    <x v="1"/>
    <n v="0"/>
    <x v="0"/>
    <x v="0"/>
  </r>
  <r>
    <s v="DBK-CMP-100915"/>
    <s v="DBK-CUS-500915"/>
    <x v="5"/>
    <x v="3"/>
    <x v="15"/>
    <n v="7"/>
    <x v="1"/>
    <x v="295"/>
    <n v="4"/>
    <x v="1"/>
    <n v="0"/>
    <x v="9"/>
    <x v="0"/>
  </r>
  <r>
    <s v="DBK-CMP-100916"/>
    <s v="DBK-CUS-500916"/>
    <x v="5"/>
    <x v="4"/>
    <x v="131"/>
    <n v="12"/>
    <x v="1"/>
    <x v="99"/>
    <n v="4"/>
    <x v="1"/>
    <n v="0"/>
    <x v="5"/>
    <x v="0"/>
  </r>
  <r>
    <s v="DBK-CMP-100917"/>
    <s v="DBK-CUS-500917"/>
    <x v="3"/>
    <x v="3"/>
    <x v="0"/>
    <n v="58"/>
    <x v="1"/>
    <x v="84"/>
    <n v="1"/>
    <x v="1"/>
    <n v="2"/>
    <x v="0"/>
    <x v="1"/>
  </r>
  <r>
    <s v="DBK-CMP-100918"/>
    <s v="DBK-CUS-500918"/>
    <x v="2"/>
    <x v="4"/>
    <x v="310"/>
    <n v="94"/>
    <x v="1"/>
    <x v="153"/>
    <n v="1"/>
    <x v="1"/>
    <n v="3"/>
    <x v="0"/>
    <x v="2"/>
  </r>
  <r>
    <s v="DBK-CMP-100919"/>
    <s v="DBK-CUS-500919"/>
    <x v="4"/>
    <x v="1"/>
    <x v="328"/>
    <n v="11"/>
    <x v="1"/>
    <x v="126"/>
    <n v="4"/>
    <x v="1"/>
    <n v="0"/>
    <x v="9"/>
    <x v="0"/>
  </r>
  <r>
    <s v="DBK-CMP-100920"/>
    <s v="DBK-CUS-500920"/>
    <x v="0"/>
    <x v="0"/>
    <x v="129"/>
    <n v="10"/>
    <x v="0"/>
    <x v="0"/>
    <m/>
    <x v="0"/>
    <s v=" "/>
    <x v="3"/>
    <x v="0"/>
  </r>
  <r>
    <s v="DBK-CMP-100921"/>
    <s v="DBK-CUS-500921"/>
    <x v="0"/>
    <x v="4"/>
    <x v="5"/>
    <n v="27"/>
    <x v="2"/>
    <x v="0"/>
    <m/>
    <x v="0"/>
    <s v=" "/>
    <x v="4"/>
    <x v="1"/>
  </r>
  <r>
    <s v="DBK-CMP-100922"/>
    <s v="DBK-CUS-500922"/>
    <x v="1"/>
    <x v="3"/>
    <x v="208"/>
    <n v="33"/>
    <x v="0"/>
    <x v="0"/>
    <m/>
    <x v="0"/>
    <s v=" "/>
    <x v="3"/>
    <x v="1"/>
  </r>
  <r>
    <s v="DBK-CMP-100923"/>
    <s v="DBK-CUS-500923"/>
    <x v="2"/>
    <x v="3"/>
    <x v="254"/>
    <n v="71"/>
    <x v="0"/>
    <x v="0"/>
    <m/>
    <x v="0"/>
    <s v=" "/>
    <x v="6"/>
    <x v="1"/>
  </r>
  <r>
    <s v="DBK-CMP-100924"/>
    <s v="DBK-CUS-500924"/>
    <x v="2"/>
    <x v="3"/>
    <x v="325"/>
    <n v="26"/>
    <x v="2"/>
    <x v="0"/>
    <m/>
    <x v="0"/>
    <s v=" "/>
    <x v="10"/>
    <x v="1"/>
  </r>
  <r>
    <s v="DBK-CMP-100925"/>
    <s v="DBK-CUS-500925"/>
    <x v="3"/>
    <x v="0"/>
    <x v="187"/>
    <n v="36"/>
    <x v="2"/>
    <x v="0"/>
    <m/>
    <x v="0"/>
    <s v=" "/>
    <x v="8"/>
    <x v="1"/>
  </r>
  <r>
    <s v="DBK-CMP-100926"/>
    <s v="DBK-CUS-500926"/>
    <x v="6"/>
    <x v="0"/>
    <x v="329"/>
    <n v="14"/>
    <x v="1"/>
    <x v="296"/>
    <n v="5"/>
    <x v="1"/>
    <n v="0"/>
    <x v="6"/>
    <x v="0"/>
  </r>
  <r>
    <s v="DBK-CMP-100927"/>
    <s v="DBK-CUS-500927"/>
    <x v="0"/>
    <x v="3"/>
    <x v="156"/>
    <n v="19"/>
    <x v="0"/>
    <x v="0"/>
    <m/>
    <x v="0"/>
    <s v=" "/>
    <x v="7"/>
    <x v="0"/>
  </r>
  <r>
    <s v="DBK-CMP-100928"/>
    <s v="DBK-CUS-500928"/>
    <x v="6"/>
    <x v="2"/>
    <x v="121"/>
    <n v="4"/>
    <x v="2"/>
    <x v="0"/>
    <m/>
    <x v="0"/>
    <s v=" "/>
    <x v="0"/>
    <x v="0"/>
  </r>
  <r>
    <s v="DBK-CMP-100929"/>
    <s v="DBK-CUS-500929"/>
    <x v="4"/>
    <x v="3"/>
    <x v="18"/>
    <n v="57"/>
    <x v="0"/>
    <x v="0"/>
    <m/>
    <x v="0"/>
    <s v=" "/>
    <x v="3"/>
    <x v="1"/>
  </r>
  <r>
    <s v="DBK-CMP-100930"/>
    <s v="DBK-CUS-500930"/>
    <x v="4"/>
    <x v="0"/>
    <x v="152"/>
    <n v="26"/>
    <x v="0"/>
    <x v="0"/>
    <m/>
    <x v="0"/>
    <s v=" "/>
    <x v="1"/>
    <x v="1"/>
  </r>
  <r>
    <s v="DBK-CMP-100931"/>
    <s v="DBK-CUS-500931"/>
    <x v="4"/>
    <x v="1"/>
    <x v="20"/>
    <n v="15"/>
    <x v="1"/>
    <x v="297"/>
    <n v="5"/>
    <x v="1"/>
    <n v="0"/>
    <x v="10"/>
    <x v="0"/>
  </r>
  <r>
    <s v="DBK-CMP-100932"/>
    <s v="DBK-CUS-500932"/>
    <x v="0"/>
    <x v="3"/>
    <x v="330"/>
    <n v="34"/>
    <x v="1"/>
    <x v="298"/>
    <n v="2"/>
    <x v="1"/>
    <n v="1"/>
    <x v="4"/>
    <x v="1"/>
  </r>
  <r>
    <s v="DBK-CMP-100933"/>
    <s v="DBK-CUS-500933"/>
    <x v="4"/>
    <x v="0"/>
    <x v="271"/>
    <n v="47"/>
    <x v="1"/>
    <x v="204"/>
    <n v="5"/>
    <x v="1"/>
    <n v="1"/>
    <x v="1"/>
    <x v="1"/>
  </r>
  <r>
    <s v="DBK-CMP-100934"/>
    <s v="DBK-CUS-500934"/>
    <x v="0"/>
    <x v="2"/>
    <x v="129"/>
    <n v="8"/>
    <x v="1"/>
    <x v="97"/>
    <n v="4"/>
    <x v="1"/>
    <n v="0"/>
    <x v="3"/>
    <x v="0"/>
  </r>
  <r>
    <s v="DBK-CMP-100935"/>
    <s v="DBK-CUS-500935"/>
    <x v="2"/>
    <x v="4"/>
    <x v="143"/>
    <n v="86"/>
    <x v="0"/>
    <x v="0"/>
    <m/>
    <x v="0"/>
    <s v=" "/>
    <x v="11"/>
    <x v="2"/>
  </r>
  <r>
    <s v="DBK-CMP-100936"/>
    <s v="DBK-CUS-500936"/>
    <x v="0"/>
    <x v="4"/>
    <x v="109"/>
    <n v="47"/>
    <x v="1"/>
    <x v="233"/>
    <n v="2"/>
    <x v="1"/>
    <n v="1"/>
    <x v="0"/>
    <x v="1"/>
  </r>
  <r>
    <s v="DBK-CMP-100937"/>
    <s v="DBK-CUS-500937"/>
    <x v="6"/>
    <x v="0"/>
    <x v="26"/>
    <n v="13"/>
    <x v="1"/>
    <x v="59"/>
    <n v="3"/>
    <x v="1"/>
    <n v="0"/>
    <x v="8"/>
    <x v="0"/>
  </r>
  <r>
    <s v="DBK-CMP-100938"/>
    <s v="DBK-CUS-500938"/>
    <x v="3"/>
    <x v="0"/>
    <x v="173"/>
    <n v="64"/>
    <x v="1"/>
    <x v="56"/>
    <n v="1"/>
    <x v="1"/>
    <n v="2"/>
    <x v="0"/>
    <x v="1"/>
  </r>
  <r>
    <s v="DBK-CMP-100939"/>
    <s v="DBK-CUS-500939"/>
    <x v="1"/>
    <x v="3"/>
    <x v="331"/>
    <n v="14"/>
    <x v="1"/>
    <x v="289"/>
    <n v="3"/>
    <x v="1"/>
    <n v="0"/>
    <x v="0"/>
    <x v="0"/>
  </r>
  <r>
    <s v="DBK-CMP-100940"/>
    <s v="DBK-CUS-500940"/>
    <x v="0"/>
    <x v="1"/>
    <x v="260"/>
    <n v="15"/>
    <x v="1"/>
    <x v="40"/>
    <n v="3"/>
    <x v="1"/>
    <n v="0"/>
    <x v="5"/>
    <x v="0"/>
  </r>
  <r>
    <s v="DBK-CMP-100941"/>
    <s v="DBK-CUS-500941"/>
    <x v="2"/>
    <x v="4"/>
    <x v="229"/>
    <n v="72"/>
    <x v="1"/>
    <x v="87"/>
    <n v="1"/>
    <x v="1"/>
    <n v="3"/>
    <x v="1"/>
    <x v="1"/>
  </r>
  <r>
    <s v="DBK-CMP-100942"/>
    <s v="DBK-CUS-500942"/>
    <x v="6"/>
    <x v="1"/>
    <x v="196"/>
    <n v="7"/>
    <x v="1"/>
    <x v="165"/>
    <n v="4"/>
    <x v="1"/>
    <n v="0"/>
    <x v="9"/>
    <x v="0"/>
  </r>
  <r>
    <s v="DBK-CMP-100943"/>
    <s v="DBK-CUS-500943"/>
    <x v="5"/>
    <x v="2"/>
    <x v="87"/>
    <n v="6"/>
    <x v="2"/>
    <x v="0"/>
    <m/>
    <x v="0"/>
    <s v=" "/>
    <x v="1"/>
    <x v="0"/>
  </r>
  <r>
    <s v="DBK-CMP-100944"/>
    <s v="DBK-CUS-500944"/>
    <x v="3"/>
    <x v="1"/>
    <x v="234"/>
    <n v="46"/>
    <x v="1"/>
    <x v="184"/>
    <n v="2"/>
    <x v="1"/>
    <n v="1"/>
    <x v="6"/>
    <x v="1"/>
  </r>
  <r>
    <s v="DBK-CMP-100945"/>
    <s v="DBK-CUS-500945"/>
    <x v="5"/>
    <x v="1"/>
    <x v="332"/>
    <n v="4"/>
    <x v="1"/>
    <x v="17"/>
    <n v="5"/>
    <x v="1"/>
    <n v="0"/>
    <x v="9"/>
    <x v="0"/>
  </r>
  <r>
    <s v="DBK-CMP-100946"/>
    <s v="DBK-CUS-500946"/>
    <x v="5"/>
    <x v="4"/>
    <x v="164"/>
    <n v="7"/>
    <x v="1"/>
    <x v="227"/>
    <n v="4"/>
    <x v="1"/>
    <n v="0"/>
    <x v="10"/>
    <x v="0"/>
  </r>
  <r>
    <s v="DBK-CMP-100947"/>
    <s v="DBK-CUS-500947"/>
    <x v="4"/>
    <x v="4"/>
    <x v="178"/>
    <n v="50"/>
    <x v="1"/>
    <x v="95"/>
    <n v="1"/>
    <x v="1"/>
    <n v="2"/>
    <x v="10"/>
    <x v="1"/>
  </r>
  <r>
    <s v="DBK-CMP-100948"/>
    <s v="DBK-CUS-500948"/>
    <x v="7"/>
    <x v="0"/>
    <x v="41"/>
    <n v="3"/>
    <x v="0"/>
    <x v="0"/>
    <m/>
    <x v="0"/>
    <s v=" "/>
    <x v="4"/>
    <x v="0"/>
  </r>
  <r>
    <s v="DBK-CMP-100949"/>
    <s v="DBK-CUS-500949"/>
    <x v="4"/>
    <x v="3"/>
    <x v="63"/>
    <n v="22"/>
    <x v="1"/>
    <x v="74"/>
    <n v="3"/>
    <x v="1"/>
    <n v="0"/>
    <x v="10"/>
    <x v="0"/>
  </r>
  <r>
    <s v="DBK-CMP-100950"/>
    <s v="DBK-CUS-500950"/>
    <x v="1"/>
    <x v="4"/>
    <x v="17"/>
    <n v="32"/>
    <x v="0"/>
    <x v="0"/>
    <m/>
    <x v="0"/>
    <s v=" "/>
    <x v="1"/>
    <x v="1"/>
  </r>
  <r>
    <s v="DBK-CMP-100951"/>
    <s v="DBK-CUS-500951"/>
    <x v="0"/>
    <x v="3"/>
    <x v="239"/>
    <n v="16"/>
    <x v="0"/>
    <x v="0"/>
    <m/>
    <x v="0"/>
    <s v=" "/>
    <x v="10"/>
    <x v="0"/>
  </r>
  <r>
    <s v="DBK-CMP-100952"/>
    <s v="DBK-CUS-500952"/>
    <x v="1"/>
    <x v="2"/>
    <x v="140"/>
    <n v="23"/>
    <x v="2"/>
    <x v="0"/>
    <m/>
    <x v="0"/>
    <s v=" "/>
    <x v="2"/>
    <x v="0"/>
  </r>
  <r>
    <s v="DBK-CMP-100953"/>
    <s v="DBK-CUS-500953"/>
    <x v="5"/>
    <x v="4"/>
    <x v="15"/>
    <n v="9"/>
    <x v="1"/>
    <x v="295"/>
    <n v="4"/>
    <x v="1"/>
    <n v="0"/>
    <x v="9"/>
    <x v="0"/>
  </r>
  <r>
    <s v="DBK-CMP-100954"/>
    <s v="DBK-CUS-500954"/>
    <x v="2"/>
    <x v="1"/>
    <x v="251"/>
    <n v="76"/>
    <x v="1"/>
    <x v="69"/>
    <n v="1"/>
    <x v="1"/>
    <n v="3"/>
    <x v="9"/>
    <x v="2"/>
  </r>
  <r>
    <s v="DBK-CMP-100955"/>
    <s v="DBK-CUS-500955"/>
    <x v="6"/>
    <x v="0"/>
    <x v="159"/>
    <n v="21"/>
    <x v="1"/>
    <x v="299"/>
    <n v="3"/>
    <x v="1"/>
    <n v="0"/>
    <x v="9"/>
    <x v="0"/>
  </r>
  <r>
    <s v="DBK-CMP-100956"/>
    <s v="DBK-CUS-500956"/>
    <x v="6"/>
    <x v="2"/>
    <x v="181"/>
    <n v="3"/>
    <x v="1"/>
    <x v="135"/>
    <n v="5"/>
    <x v="1"/>
    <n v="0"/>
    <x v="1"/>
    <x v="0"/>
  </r>
  <r>
    <s v="DBK-CMP-100957"/>
    <s v="DBK-CUS-500957"/>
    <x v="6"/>
    <x v="2"/>
    <x v="239"/>
    <n v="8"/>
    <x v="1"/>
    <x v="176"/>
    <n v="4"/>
    <x v="1"/>
    <n v="0"/>
    <x v="10"/>
    <x v="0"/>
  </r>
  <r>
    <s v="DBK-CMP-100958"/>
    <s v="DBK-CUS-500958"/>
    <x v="1"/>
    <x v="3"/>
    <x v="305"/>
    <n v="14"/>
    <x v="1"/>
    <x v="83"/>
    <n v="3"/>
    <x v="1"/>
    <n v="0"/>
    <x v="4"/>
    <x v="0"/>
  </r>
  <r>
    <s v="DBK-CMP-100959"/>
    <s v="DBK-CUS-500959"/>
    <x v="2"/>
    <x v="2"/>
    <x v="297"/>
    <n v="84"/>
    <x v="0"/>
    <x v="0"/>
    <m/>
    <x v="0"/>
    <s v=" "/>
    <x v="8"/>
    <x v="2"/>
  </r>
  <r>
    <s v="DBK-CMP-100960"/>
    <s v="DBK-CUS-500960"/>
    <x v="3"/>
    <x v="3"/>
    <x v="34"/>
    <n v="45"/>
    <x v="1"/>
    <x v="23"/>
    <n v="2"/>
    <x v="1"/>
    <n v="1"/>
    <x v="9"/>
    <x v="1"/>
  </r>
  <r>
    <s v="DBK-CMP-100961"/>
    <s v="DBK-CUS-500961"/>
    <x v="1"/>
    <x v="1"/>
    <x v="107"/>
    <n v="31"/>
    <x v="1"/>
    <x v="257"/>
    <n v="5"/>
    <x v="1"/>
    <n v="1"/>
    <x v="0"/>
    <x v="1"/>
  </r>
  <r>
    <s v="DBK-CMP-100962"/>
    <s v="DBK-CUS-500962"/>
    <x v="6"/>
    <x v="0"/>
    <x v="244"/>
    <n v="11"/>
    <x v="1"/>
    <x v="197"/>
    <n v="4"/>
    <x v="1"/>
    <n v="0"/>
    <x v="10"/>
    <x v="0"/>
  </r>
  <r>
    <s v="DBK-CMP-100963"/>
    <s v="DBK-CUS-500963"/>
    <x v="2"/>
    <x v="4"/>
    <x v="333"/>
    <n v="96"/>
    <x v="1"/>
    <x v="108"/>
    <n v="5"/>
    <x v="1"/>
    <n v="4"/>
    <x v="1"/>
    <x v="2"/>
  </r>
  <r>
    <s v="DBK-CMP-100964"/>
    <s v="DBK-CUS-500964"/>
    <x v="3"/>
    <x v="3"/>
    <x v="54"/>
    <n v="38"/>
    <x v="1"/>
    <x v="110"/>
    <n v="2"/>
    <x v="1"/>
    <n v="1"/>
    <x v="2"/>
    <x v="1"/>
  </r>
  <r>
    <s v="DBK-CMP-100965"/>
    <s v="DBK-CUS-500965"/>
    <x v="6"/>
    <x v="0"/>
    <x v="294"/>
    <n v="7"/>
    <x v="0"/>
    <x v="0"/>
    <m/>
    <x v="0"/>
    <s v=" "/>
    <x v="4"/>
    <x v="0"/>
  </r>
  <r>
    <s v="DBK-CMP-100966"/>
    <s v="DBK-CUS-500966"/>
    <x v="5"/>
    <x v="3"/>
    <x v="12"/>
    <n v="5"/>
    <x v="1"/>
    <x v="115"/>
    <n v="5"/>
    <x v="1"/>
    <n v="0"/>
    <x v="9"/>
    <x v="0"/>
  </r>
  <r>
    <s v="DBK-CMP-100967"/>
    <s v="DBK-CUS-500967"/>
    <x v="6"/>
    <x v="4"/>
    <x v="224"/>
    <n v="23"/>
    <x v="0"/>
    <x v="0"/>
    <m/>
    <x v="0"/>
    <s v=" "/>
    <x v="3"/>
    <x v="0"/>
  </r>
  <r>
    <s v="DBK-CMP-100968"/>
    <s v="DBK-CUS-500968"/>
    <x v="2"/>
    <x v="0"/>
    <x v="81"/>
    <n v="53"/>
    <x v="1"/>
    <x v="74"/>
    <n v="1"/>
    <x v="1"/>
    <n v="2"/>
    <x v="10"/>
    <x v="1"/>
  </r>
  <r>
    <s v="DBK-CMP-100969"/>
    <s v="DBK-CUS-500969"/>
    <x v="4"/>
    <x v="1"/>
    <x v="256"/>
    <n v="64"/>
    <x v="2"/>
    <x v="0"/>
    <m/>
    <x v="0"/>
    <s v=" "/>
    <x v="4"/>
    <x v="1"/>
  </r>
  <r>
    <s v="DBK-CMP-100970"/>
    <s v="DBK-CUS-500970"/>
    <x v="6"/>
    <x v="2"/>
    <x v="160"/>
    <n v="3"/>
    <x v="1"/>
    <x v="300"/>
    <n v="5"/>
    <x v="1"/>
    <n v="0"/>
    <x v="3"/>
    <x v="0"/>
  </r>
  <r>
    <s v="DBK-CMP-100971"/>
    <s v="DBK-CUS-500971"/>
    <x v="0"/>
    <x v="1"/>
    <x v="263"/>
    <n v="29"/>
    <x v="1"/>
    <x v="202"/>
    <n v="2"/>
    <x v="1"/>
    <n v="1"/>
    <x v="7"/>
    <x v="1"/>
  </r>
  <r>
    <s v="DBK-CMP-100972"/>
    <s v="DBK-CUS-500972"/>
    <x v="3"/>
    <x v="3"/>
    <x v="180"/>
    <n v="37"/>
    <x v="1"/>
    <x v="301"/>
    <n v="2"/>
    <x v="1"/>
    <n v="1"/>
    <x v="9"/>
    <x v="1"/>
  </r>
  <r>
    <s v="DBK-CMP-100973"/>
    <s v="DBK-CUS-500973"/>
    <x v="4"/>
    <x v="3"/>
    <x v="58"/>
    <n v="46"/>
    <x v="1"/>
    <x v="37"/>
    <n v="2"/>
    <x v="1"/>
    <n v="1"/>
    <x v="11"/>
    <x v="1"/>
  </r>
  <r>
    <s v="DBK-CMP-100974"/>
    <s v="DBK-CUS-500974"/>
    <x v="0"/>
    <x v="4"/>
    <x v="224"/>
    <n v="41"/>
    <x v="2"/>
    <x v="0"/>
    <m/>
    <x v="0"/>
    <s v=" "/>
    <x v="3"/>
    <x v="1"/>
  </r>
  <r>
    <s v="DBK-CMP-100975"/>
    <s v="DBK-CUS-500975"/>
    <x v="3"/>
    <x v="0"/>
    <x v="166"/>
    <n v="24"/>
    <x v="2"/>
    <x v="0"/>
    <m/>
    <x v="0"/>
    <s v=" "/>
    <x v="6"/>
    <x v="0"/>
  </r>
  <r>
    <s v="DBK-CMP-100976"/>
    <s v="DBK-CUS-500976"/>
    <x v="0"/>
    <x v="4"/>
    <x v="192"/>
    <n v="10"/>
    <x v="1"/>
    <x v="282"/>
    <n v="4"/>
    <x v="1"/>
    <n v="0"/>
    <x v="10"/>
    <x v="0"/>
  </r>
  <r>
    <s v="DBK-CMP-100977"/>
    <s v="DBK-CUS-500977"/>
    <x v="3"/>
    <x v="2"/>
    <x v="41"/>
    <n v="7"/>
    <x v="1"/>
    <x v="28"/>
    <n v="4"/>
    <x v="1"/>
    <n v="0"/>
    <x v="4"/>
    <x v="0"/>
  </r>
  <r>
    <s v="DBK-CMP-100978"/>
    <s v="DBK-CUS-500978"/>
    <x v="2"/>
    <x v="0"/>
    <x v="55"/>
    <n v="50"/>
    <x v="1"/>
    <x v="302"/>
    <n v="5"/>
    <x v="1"/>
    <n v="2"/>
    <x v="4"/>
    <x v="1"/>
  </r>
  <r>
    <s v="DBK-CMP-100979"/>
    <s v="DBK-CUS-500979"/>
    <x v="6"/>
    <x v="2"/>
    <x v="161"/>
    <n v="16"/>
    <x v="1"/>
    <x v="148"/>
    <n v="3"/>
    <x v="1"/>
    <n v="0"/>
    <x v="11"/>
    <x v="0"/>
  </r>
  <r>
    <s v="DBK-CMP-100980"/>
    <s v="DBK-CUS-500980"/>
    <x v="1"/>
    <x v="0"/>
    <x v="193"/>
    <n v="16"/>
    <x v="1"/>
    <x v="141"/>
    <n v="3"/>
    <x v="1"/>
    <n v="0"/>
    <x v="10"/>
    <x v="0"/>
  </r>
  <r>
    <s v="DBK-CMP-100981"/>
    <s v="DBK-CUS-500981"/>
    <x v="7"/>
    <x v="4"/>
    <x v="334"/>
    <n v="15"/>
    <x v="1"/>
    <x v="303"/>
    <n v="5"/>
    <x v="1"/>
    <n v="0"/>
    <x v="8"/>
    <x v="0"/>
  </r>
  <r>
    <s v="DBK-CMP-100982"/>
    <s v="DBK-CUS-500982"/>
    <x v="2"/>
    <x v="1"/>
    <x v="226"/>
    <n v="39"/>
    <x v="1"/>
    <x v="304"/>
    <n v="2"/>
    <x v="1"/>
    <n v="1"/>
    <x v="5"/>
    <x v="1"/>
  </r>
  <r>
    <s v="DBK-CMP-100983"/>
    <s v="DBK-CUS-500983"/>
    <x v="1"/>
    <x v="4"/>
    <x v="335"/>
    <n v="6"/>
    <x v="1"/>
    <x v="305"/>
    <n v="5"/>
    <x v="1"/>
    <n v="0"/>
    <x v="2"/>
    <x v="0"/>
  </r>
  <r>
    <s v="DBK-CMP-100984"/>
    <s v="DBK-CUS-500984"/>
    <x v="6"/>
    <x v="0"/>
    <x v="335"/>
    <n v="5"/>
    <x v="1"/>
    <x v="305"/>
    <n v="5"/>
    <x v="1"/>
    <n v="0"/>
    <x v="2"/>
    <x v="0"/>
  </r>
  <r>
    <s v="DBK-CMP-100985"/>
    <s v="DBK-CUS-500985"/>
    <x v="5"/>
    <x v="3"/>
    <x v="336"/>
    <n v="9"/>
    <x v="2"/>
    <x v="0"/>
    <m/>
    <x v="0"/>
    <s v=" "/>
    <x v="3"/>
    <x v="0"/>
  </r>
  <r>
    <s v="DBK-CMP-100986"/>
    <s v="DBK-CUS-500986"/>
    <x v="7"/>
    <x v="3"/>
    <x v="104"/>
    <n v="8"/>
    <x v="2"/>
    <x v="0"/>
    <m/>
    <x v="0"/>
    <s v=" "/>
    <x v="3"/>
    <x v="0"/>
  </r>
  <r>
    <s v="DBK-CMP-100987"/>
    <s v="DBK-CUS-500987"/>
    <x v="6"/>
    <x v="1"/>
    <x v="117"/>
    <n v="8"/>
    <x v="2"/>
    <x v="0"/>
    <m/>
    <x v="0"/>
    <s v=" "/>
    <x v="0"/>
    <x v="0"/>
  </r>
  <r>
    <s v="DBK-CMP-100988"/>
    <s v="DBK-CUS-500988"/>
    <x v="4"/>
    <x v="0"/>
    <x v="337"/>
    <n v="42"/>
    <x v="1"/>
    <x v="58"/>
    <n v="2"/>
    <x v="1"/>
    <n v="1"/>
    <x v="1"/>
    <x v="1"/>
  </r>
  <r>
    <s v="DBK-CMP-100989"/>
    <s v="DBK-CUS-500989"/>
    <x v="5"/>
    <x v="2"/>
    <x v="124"/>
    <n v="7"/>
    <x v="1"/>
    <x v="92"/>
    <n v="4"/>
    <x v="1"/>
    <n v="0"/>
    <x v="0"/>
    <x v="0"/>
  </r>
  <r>
    <s v="DBK-CMP-100990"/>
    <s v="DBK-CUS-500990"/>
    <x v="2"/>
    <x v="3"/>
    <x v="280"/>
    <n v="56"/>
    <x v="1"/>
    <x v="189"/>
    <n v="1"/>
    <x v="1"/>
    <n v="2"/>
    <x v="4"/>
    <x v="1"/>
  </r>
  <r>
    <s v="DBK-CMP-100991"/>
    <s v="DBK-CUS-500991"/>
    <x v="5"/>
    <x v="1"/>
    <x v="232"/>
    <n v="6"/>
    <x v="0"/>
    <x v="0"/>
    <m/>
    <x v="0"/>
    <s v=" "/>
    <x v="1"/>
    <x v="0"/>
  </r>
  <r>
    <s v="DBK-CMP-100992"/>
    <s v="DBK-CUS-500992"/>
    <x v="1"/>
    <x v="1"/>
    <x v="27"/>
    <n v="8"/>
    <x v="1"/>
    <x v="215"/>
    <n v="4"/>
    <x v="1"/>
    <n v="0"/>
    <x v="8"/>
    <x v="0"/>
  </r>
  <r>
    <s v="DBK-CMP-100993"/>
    <s v="DBK-CUS-500993"/>
    <x v="0"/>
    <x v="3"/>
    <x v="308"/>
    <n v="41"/>
    <x v="0"/>
    <x v="0"/>
    <m/>
    <x v="0"/>
    <s v=" "/>
    <x v="7"/>
    <x v="1"/>
  </r>
  <r>
    <s v="DBK-CMP-100994"/>
    <s v="DBK-CUS-500994"/>
    <x v="2"/>
    <x v="3"/>
    <x v="133"/>
    <n v="31"/>
    <x v="0"/>
    <x v="0"/>
    <m/>
    <x v="0"/>
    <s v=" "/>
    <x v="1"/>
    <x v="1"/>
  </r>
  <r>
    <s v="DBK-CMP-100995"/>
    <s v="DBK-CUS-500995"/>
    <x v="2"/>
    <x v="3"/>
    <x v="338"/>
    <n v="90"/>
    <x v="0"/>
    <x v="0"/>
    <m/>
    <x v="0"/>
    <s v=" "/>
    <x v="3"/>
    <x v="2"/>
  </r>
  <r>
    <s v="DBK-CMP-100996"/>
    <s v="DBK-CUS-500996"/>
    <x v="6"/>
    <x v="1"/>
    <x v="146"/>
    <n v="17"/>
    <x v="1"/>
    <x v="185"/>
    <n v="3"/>
    <x v="1"/>
    <n v="0"/>
    <x v="9"/>
    <x v="0"/>
  </r>
  <r>
    <s v="DBK-CMP-100997"/>
    <s v="DBK-CUS-500997"/>
    <x v="1"/>
    <x v="2"/>
    <x v="167"/>
    <n v="11"/>
    <x v="0"/>
    <x v="0"/>
    <m/>
    <x v="0"/>
    <s v=" "/>
    <x v="8"/>
    <x v="0"/>
  </r>
  <r>
    <s v="DBK-CMP-100998"/>
    <s v="DBK-CUS-500998"/>
    <x v="7"/>
    <x v="0"/>
    <x v="4"/>
    <n v="24"/>
    <x v="2"/>
    <x v="0"/>
    <m/>
    <x v="0"/>
    <s v=" "/>
    <x v="3"/>
    <x v="0"/>
  </r>
  <r>
    <s v="DBK-CMP-100999"/>
    <s v="DBK-CUS-500999"/>
    <x v="6"/>
    <x v="3"/>
    <x v="222"/>
    <n v="22"/>
    <x v="0"/>
    <x v="0"/>
    <m/>
    <x v="0"/>
    <s v=" "/>
    <x v="2"/>
    <x v="0"/>
  </r>
  <r>
    <s v="DBK-CMP-101000"/>
    <s v="DBK-CUS-501000"/>
    <x v="0"/>
    <x v="3"/>
    <x v="63"/>
    <n v="4"/>
    <x v="2"/>
    <x v="0"/>
    <m/>
    <x v="0"/>
    <s v=" "/>
    <x v="10"/>
    <x v="0"/>
  </r>
  <r>
    <s v="DBK-CMP-101001"/>
    <s v="DBK-CUS-501001"/>
    <x v="1"/>
    <x v="1"/>
    <x v="285"/>
    <n v="27"/>
    <x v="1"/>
    <x v="263"/>
    <n v="2"/>
    <x v="1"/>
    <n v="1"/>
    <x v="7"/>
    <x v="1"/>
  </r>
  <r>
    <s v="DBK-CMP-101002"/>
    <s v="DBK-CUS-501002"/>
    <x v="2"/>
    <x v="0"/>
    <x v="101"/>
    <n v="51"/>
    <x v="2"/>
    <x v="0"/>
    <m/>
    <x v="0"/>
    <s v=" "/>
    <x v="4"/>
    <x v="1"/>
  </r>
  <r>
    <s v="DBK-CMP-101003"/>
    <s v="DBK-CUS-501003"/>
    <x v="5"/>
    <x v="2"/>
    <x v="82"/>
    <n v="1"/>
    <x v="1"/>
    <x v="306"/>
    <n v="5"/>
    <x v="1"/>
    <n v="0"/>
    <x v="1"/>
    <x v="0"/>
  </r>
  <r>
    <s v="DBK-CMP-101004"/>
    <s v="DBK-CUS-501004"/>
    <x v="0"/>
    <x v="1"/>
    <x v="38"/>
    <n v="27"/>
    <x v="1"/>
    <x v="25"/>
    <n v="5"/>
    <x v="1"/>
    <n v="1"/>
    <x v="2"/>
    <x v="1"/>
  </r>
  <r>
    <s v="DBK-CMP-101005"/>
    <s v="DBK-CUS-501005"/>
    <x v="6"/>
    <x v="1"/>
    <x v="280"/>
    <n v="23"/>
    <x v="1"/>
    <x v="278"/>
    <n v="3"/>
    <x v="1"/>
    <n v="0"/>
    <x v="4"/>
    <x v="0"/>
  </r>
  <r>
    <s v="DBK-CMP-101006"/>
    <s v="DBK-CUS-501006"/>
    <x v="0"/>
    <x v="0"/>
    <x v="187"/>
    <n v="45"/>
    <x v="1"/>
    <x v="103"/>
    <n v="5"/>
    <x v="1"/>
    <n v="1"/>
    <x v="8"/>
    <x v="1"/>
  </r>
  <r>
    <s v="DBK-CMP-101007"/>
    <s v="DBK-CUS-501007"/>
    <x v="3"/>
    <x v="4"/>
    <x v="56"/>
    <n v="67"/>
    <x v="1"/>
    <x v="307"/>
    <n v="1"/>
    <x v="1"/>
    <n v="2"/>
    <x v="7"/>
    <x v="1"/>
  </r>
  <r>
    <s v="DBK-CMP-101008"/>
    <s v="DBK-CUS-501008"/>
    <x v="6"/>
    <x v="1"/>
    <x v="11"/>
    <n v="10"/>
    <x v="1"/>
    <x v="108"/>
    <n v="4"/>
    <x v="1"/>
    <n v="0"/>
    <x v="1"/>
    <x v="0"/>
  </r>
  <r>
    <s v="DBK-CMP-101009"/>
    <s v="DBK-CUS-501009"/>
    <x v="0"/>
    <x v="4"/>
    <x v="90"/>
    <n v="42"/>
    <x v="0"/>
    <x v="0"/>
    <m/>
    <x v="0"/>
    <s v=" "/>
    <x v="2"/>
    <x v="1"/>
  </r>
  <r>
    <s v="DBK-CMP-101010"/>
    <s v="DBK-CUS-501010"/>
    <x v="0"/>
    <x v="4"/>
    <x v="290"/>
    <n v="35"/>
    <x v="2"/>
    <x v="0"/>
    <m/>
    <x v="0"/>
    <s v=" "/>
    <x v="1"/>
    <x v="1"/>
  </r>
  <r>
    <s v="DBK-CMP-101011"/>
    <s v="DBK-CUS-501011"/>
    <x v="6"/>
    <x v="4"/>
    <x v="287"/>
    <n v="7"/>
    <x v="0"/>
    <x v="0"/>
    <m/>
    <x v="0"/>
    <s v=" "/>
    <x v="11"/>
    <x v="0"/>
  </r>
  <r>
    <s v="DBK-CMP-101012"/>
    <s v="DBK-CUS-501012"/>
    <x v="7"/>
    <x v="1"/>
    <x v="303"/>
    <n v="24"/>
    <x v="0"/>
    <x v="0"/>
    <m/>
    <x v="0"/>
    <s v=" "/>
    <x v="0"/>
    <x v="0"/>
  </r>
  <r>
    <s v="DBK-CMP-101013"/>
    <s v="DBK-CUS-501013"/>
    <x v="6"/>
    <x v="1"/>
    <x v="69"/>
    <n v="22"/>
    <x v="1"/>
    <x v="308"/>
    <n v="3"/>
    <x v="1"/>
    <n v="0"/>
    <x v="6"/>
    <x v="0"/>
  </r>
  <r>
    <s v="DBK-CMP-101014"/>
    <s v="DBK-CUS-501014"/>
    <x v="7"/>
    <x v="4"/>
    <x v="339"/>
    <n v="11"/>
    <x v="0"/>
    <x v="0"/>
    <m/>
    <x v="0"/>
    <s v=" "/>
    <x v="11"/>
    <x v="0"/>
  </r>
  <r>
    <s v="DBK-CMP-101015"/>
    <s v="DBK-CUS-501015"/>
    <x v="1"/>
    <x v="0"/>
    <x v="287"/>
    <n v="23"/>
    <x v="1"/>
    <x v="277"/>
    <n v="3"/>
    <x v="1"/>
    <n v="0"/>
    <x v="11"/>
    <x v="0"/>
  </r>
  <r>
    <s v="DBK-CMP-101016"/>
    <s v="DBK-CUS-501016"/>
    <x v="6"/>
    <x v="4"/>
    <x v="272"/>
    <n v="24"/>
    <x v="1"/>
    <x v="41"/>
    <n v="5"/>
    <x v="1"/>
    <n v="1"/>
    <x v="9"/>
    <x v="0"/>
  </r>
  <r>
    <s v="DBK-CMP-101017"/>
    <s v="DBK-CUS-501017"/>
    <x v="4"/>
    <x v="4"/>
    <x v="96"/>
    <n v="13"/>
    <x v="1"/>
    <x v="81"/>
    <n v="3"/>
    <x v="1"/>
    <n v="0"/>
    <x v="7"/>
    <x v="0"/>
  </r>
  <r>
    <s v="DBK-CMP-101018"/>
    <s v="DBK-CUS-501018"/>
    <x v="5"/>
    <x v="2"/>
    <x v="157"/>
    <n v="11"/>
    <x v="2"/>
    <x v="0"/>
    <m/>
    <x v="0"/>
    <s v=" "/>
    <x v="6"/>
    <x v="0"/>
  </r>
  <r>
    <s v="DBK-CMP-101019"/>
    <s v="DBK-CUS-501019"/>
    <x v="5"/>
    <x v="0"/>
    <x v="123"/>
    <n v="2"/>
    <x v="1"/>
    <x v="163"/>
    <n v="5"/>
    <x v="1"/>
    <n v="0"/>
    <x v="5"/>
    <x v="0"/>
  </r>
  <r>
    <s v="DBK-CMP-101020"/>
    <s v="DBK-CUS-501020"/>
    <x v="0"/>
    <x v="0"/>
    <x v="104"/>
    <n v="43"/>
    <x v="1"/>
    <x v="76"/>
    <n v="5"/>
    <x v="1"/>
    <n v="1"/>
    <x v="3"/>
    <x v="1"/>
  </r>
  <r>
    <s v="DBK-CMP-101021"/>
    <s v="DBK-CUS-501021"/>
    <x v="2"/>
    <x v="2"/>
    <x v="34"/>
    <n v="51"/>
    <x v="1"/>
    <x v="126"/>
    <n v="1"/>
    <x v="1"/>
    <n v="2"/>
    <x v="9"/>
    <x v="1"/>
  </r>
  <r>
    <s v="DBK-CMP-101022"/>
    <s v="DBK-CUS-501022"/>
    <x v="6"/>
    <x v="0"/>
    <x v="327"/>
    <n v="18"/>
    <x v="1"/>
    <x v="170"/>
    <n v="3"/>
    <x v="1"/>
    <n v="0"/>
    <x v="1"/>
    <x v="0"/>
  </r>
  <r>
    <s v="DBK-CMP-101023"/>
    <s v="DBK-CUS-501023"/>
    <x v="6"/>
    <x v="4"/>
    <x v="18"/>
    <n v="17"/>
    <x v="2"/>
    <x v="0"/>
    <m/>
    <x v="0"/>
    <s v=" "/>
    <x v="3"/>
    <x v="0"/>
  </r>
  <r>
    <s v="DBK-CMP-101024"/>
    <s v="DBK-CUS-501024"/>
    <x v="6"/>
    <x v="1"/>
    <x v="204"/>
    <n v="5"/>
    <x v="0"/>
    <x v="0"/>
    <m/>
    <x v="0"/>
    <s v=" "/>
    <x v="5"/>
    <x v="0"/>
  </r>
  <r>
    <s v="DBK-CMP-101025"/>
    <s v="DBK-CUS-501025"/>
    <x v="7"/>
    <x v="2"/>
    <x v="333"/>
    <n v="12"/>
    <x v="1"/>
    <x v="247"/>
    <n v="5"/>
    <x v="1"/>
    <n v="0"/>
    <x v="1"/>
    <x v="0"/>
  </r>
  <r>
    <s v="DBK-CMP-101026"/>
    <s v="DBK-CUS-501026"/>
    <x v="7"/>
    <x v="1"/>
    <x v="179"/>
    <n v="18"/>
    <x v="2"/>
    <x v="0"/>
    <m/>
    <x v="0"/>
    <s v=" "/>
    <x v="7"/>
    <x v="0"/>
  </r>
  <r>
    <s v="DBK-CMP-101027"/>
    <s v="DBK-CUS-501027"/>
    <x v="4"/>
    <x v="3"/>
    <x v="17"/>
    <n v="70"/>
    <x v="1"/>
    <x v="309"/>
    <n v="1"/>
    <x v="1"/>
    <n v="2"/>
    <x v="1"/>
    <x v="1"/>
  </r>
  <r>
    <s v="DBK-CMP-101028"/>
    <s v="DBK-CUS-501028"/>
    <x v="4"/>
    <x v="3"/>
    <x v="52"/>
    <n v="51"/>
    <x v="0"/>
    <x v="0"/>
    <m/>
    <x v="0"/>
    <s v=" "/>
    <x v="8"/>
    <x v="1"/>
  </r>
  <r>
    <s v="DBK-CMP-101029"/>
    <s v="DBK-CUS-501029"/>
    <x v="4"/>
    <x v="1"/>
    <x v="129"/>
    <n v="53"/>
    <x v="0"/>
    <x v="0"/>
    <m/>
    <x v="0"/>
    <s v=" "/>
    <x v="3"/>
    <x v="1"/>
  </r>
  <r>
    <s v="DBK-CMP-101030"/>
    <s v="DBK-CUS-501030"/>
    <x v="2"/>
    <x v="0"/>
    <x v="21"/>
    <n v="96"/>
    <x v="2"/>
    <x v="0"/>
    <m/>
    <x v="0"/>
    <s v=" "/>
    <x v="10"/>
    <x v="2"/>
  </r>
  <r>
    <s v="DBK-CMP-101031"/>
    <s v="DBK-CUS-501031"/>
    <x v="5"/>
    <x v="1"/>
    <x v="321"/>
    <n v="1"/>
    <x v="1"/>
    <x v="124"/>
    <n v="5"/>
    <x v="1"/>
    <n v="0"/>
    <x v="6"/>
    <x v="0"/>
  </r>
  <r>
    <s v="DBK-CMP-101032"/>
    <s v="DBK-CUS-501032"/>
    <x v="3"/>
    <x v="3"/>
    <x v="340"/>
    <n v="13"/>
    <x v="2"/>
    <x v="0"/>
    <m/>
    <x v="0"/>
    <s v=" "/>
    <x v="5"/>
    <x v="0"/>
  </r>
  <r>
    <s v="DBK-CMP-101033"/>
    <s v="DBK-CUS-501033"/>
    <x v="3"/>
    <x v="0"/>
    <x v="250"/>
    <n v="43"/>
    <x v="0"/>
    <x v="0"/>
    <m/>
    <x v="0"/>
    <s v=" "/>
    <x v="7"/>
    <x v="1"/>
  </r>
  <r>
    <s v="DBK-CMP-101034"/>
    <s v="DBK-CUS-501034"/>
    <x v="4"/>
    <x v="2"/>
    <x v="341"/>
    <n v="65"/>
    <x v="2"/>
    <x v="0"/>
    <m/>
    <x v="0"/>
    <s v=" "/>
    <x v="6"/>
    <x v="1"/>
  </r>
  <r>
    <s v="DBK-CMP-101035"/>
    <s v="DBK-CUS-501035"/>
    <x v="6"/>
    <x v="2"/>
    <x v="223"/>
    <n v="17"/>
    <x v="1"/>
    <x v="310"/>
    <n v="3"/>
    <x v="1"/>
    <n v="0"/>
    <x v="3"/>
    <x v="0"/>
  </r>
  <r>
    <s v="DBK-CMP-101036"/>
    <s v="DBK-CUS-501036"/>
    <x v="3"/>
    <x v="4"/>
    <x v="138"/>
    <n v="52"/>
    <x v="0"/>
    <x v="0"/>
    <m/>
    <x v="0"/>
    <s v=" "/>
    <x v="3"/>
    <x v="1"/>
  </r>
  <r>
    <s v="DBK-CMP-101037"/>
    <s v="DBK-CUS-501037"/>
    <x v="2"/>
    <x v="4"/>
    <x v="125"/>
    <n v="43"/>
    <x v="1"/>
    <x v="93"/>
    <n v="2"/>
    <x v="1"/>
    <n v="1"/>
    <x v="7"/>
    <x v="1"/>
  </r>
  <r>
    <s v="DBK-CMP-101038"/>
    <s v="DBK-CUS-501038"/>
    <x v="4"/>
    <x v="4"/>
    <x v="274"/>
    <n v="39"/>
    <x v="1"/>
    <x v="210"/>
    <n v="2"/>
    <x v="1"/>
    <n v="1"/>
    <x v="5"/>
    <x v="1"/>
  </r>
  <r>
    <s v="DBK-CMP-101039"/>
    <s v="DBK-CUS-501039"/>
    <x v="4"/>
    <x v="3"/>
    <x v="48"/>
    <n v="36"/>
    <x v="1"/>
    <x v="295"/>
    <n v="2"/>
    <x v="1"/>
    <n v="1"/>
    <x v="9"/>
    <x v="1"/>
  </r>
  <r>
    <s v="DBK-CMP-101040"/>
    <s v="DBK-CUS-501040"/>
    <x v="7"/>
    <x v="1"/>
    <x v="205"/>
    <n v="20"/>
    <x v="1"/>
    <x v="154"/>
    <n v="3"/>
    <x v="1"/>
    <n v="0"/>
    <x v="8"/>
    <x v="0"/>
  </r>
  <r>
    <s v="DBK-CMP-101041"/>
    <s v="DBK-CUS-501041"/>
    <x v="7"/>
    <x v="2"/>
    <x v="219"/>
    <n v="15"/>
    <x v="2"/>
    <x v="0"/>
    <m/>
    <x v="0"/>
    <s v=" "/>
    <x v="8"/>
    <x v="0"/>
  </r>
  <r>
    <s v="DBK-CMP-101042"/>
    <s v="DBK-CUS-501042"/>
    <x v="0"/>
    <x v="3"/>
    <x v="138"/>
    <n v="9"/>
    <x v="1"/>
    <x v="178"/>
    <n v="4"/>
    <x v="1"/>
    <n v="0"/>
    <x v="3"/>
    <x v="0"/>
  </r>
  <r>
    <s v="DBK-CMP-101043"/>
    <s v="DBK-CUS-501043"/>
    <x v="7"/>
    <x v="1"/>
    <x v="169"/>
    <n v="21"/>
    <x v="1"/>
    <x v="6"/>
    <n v="3"/>
    <x v="1"/>
    <n v="0"/>
    <x v="9"/>
    <x v="0"/>
  </r>
  <r>
    <s v="DBK-CMP-101044"/>
    <s v="DBK-CUS-501044"/>
    <x v="6"/>
    <x v="1"/>
    <x v="47"/>
    <n v="24"/>
    <x v="1"/>
    <x v="63"/>
    <n v="3"/>
    <x v="1"/>
    <n v="1"/>
    <x v="6"/>
    <x v="0"/>
  </r>
  <r>
    <s v="DBK-CMP-101045"/>
    <s v="DBK-CUS-501045"/>
    <x v="6"/>
    <x v="0"/>
    <x v="275"/>
    <n v="17"/>
    <x v="2"/>
    <x v="0"/>
    <m/>
    <x v="0"/>
    <s v=" "/>
    <x v="8"/>
    <x v="0"/>
  </r>
  <r>
    <s v="DBK-CMP-101046"/>
    <s v="DBK-CUS-501046"/>
    <x v="6"/>
    <x v="0"/>
    <x v="213"/>
    <n v="20"/>
    <x v="1"/>
    <x v="311"/>
    <n v="3"/>
    <x v="1"/>
    <n v="0"/>
    <x v="10"/>
    <x v="0"/>
  </r>
  <r>
    <s v="DBK-CMP-101047"/>
    <s v="DBK-CUS-501047"/>
    <x v="5"/>
    <x v="2"/>
    <x v="260"/>
    <n v="9"/>
    <x v="1"/>
    <x v="40"/>
    <n v="4"/>
    <x v="1"/>
    <n v="0"/>
    <x v="5"/>
    <x v="0"/>
  </r>
  <r>
    <s v="DBK-CMP-101048"/>
    <s v="DBK-CUS-501048"/>
    <x v="7"/>
    <x v="2"/>
    <x v="33"/>
    <n v="17"/>
    <x v="1"/>
    <x v="22"/>
    <n v="3"/>
    <x v="1"/>
    <n v="0"/>
    <x v="8"/>
    <x v="0"/>
  </r>
  <r>
    <s v="DBK-CMP-101049"/>
    <s v="DBK-CUS-501049"/>
    <x v="5"/>
    <x v="1"/>
    <x v="23"/>
    <n v="5"/>
    <x v="1"/>
    <x v="14"/>
    <n v="5"/>
    <x v="1"/>
    <n v="0"/>
    <x v="11"/>
    <x v="0"/>
  </r>
  <r>
    <s v="DBK-CMP-101050"/>
    <s v="DBK-CUS-501050"/>
    <x v="6"/>
    <x v="2"/>
    <x v="300"/>
    <n v="20"/>
    <x v="0"/>
    <x v="0"/>
    <m/>
    <x v="0"/>
    <s v=" "/>
    <x v="7"/>
    <x v="0"/>
  </r>
  <r>
    <s v="DBK-CMP-101051"/>
    <s v="DBK-CUS-501051"/>
    <x v="0"/>
    <x v="1"/>
    <x v="318"/>
    <n v="17"/>
    <x v="1"/>
    <x v="312"/>
    <n v="3"/>
    <x v="1"/>
    <n v="0"/>
    <x v="11"/>
    <x v="0"/>
  </r>
  <r>
    <s v="DBK-CMP-101052"/>
    <s v="DBK-CUS-501052"/>
    <x v="4"/>
    <x v="4"/>
    <x v="204"/>
    <n v="27"/>
    <x v="2"/>
    <x v="0"/>
    <m/>
    <x v="0"/>
    <s v=" "/>
    <x v="5"/>
    <x v="1"/>
  </r>
  <r>
    <s v="DBK-CMP-101053"/>
    <s v="DBK-CUS-501053"/>
    <x v="0"/>
    <x v="3"/>
    <x v="21"/>
    <n v="32"/>
    <x v="0"/>
    <x v="0"/>
    <m/>
    <x v="0"/>
    <s v=" "/>
    <x v="10"/>
    <x v="1"/>
  </r>
  <r>
    <s v="DBK-CMP-101054"/>
    <s v="DBK-CUS-501054"/>
    <x v="7"/>
    <x v="1"/>
    <x v="201"/>
    <n v="5"/>
    <x v="1"/>
    <x v="20"/>
    <n v="5"/>
    <x v="1"/>
    <n v="0"/>
    <x v="5"/>
    <x v="0"/>
  </r>
  <r>
    <s v="DBK-CMP-101055"/>
    <s v="DBK-CUS-501055"/>
    <x v="0"/>
    <x v="1"/>
    <x v="78"/>
    <n v="32"/>
    <x v="0"/>
    <x v="0"/>
    <m/>
    <x v="0"/>
    <s v=" "/>
    <x v="5"/>
    <x v="1"/>
  </r>
  <r>
    <s v="DBK-CMP-101056"/>
    <s v="DBK-CUS-501056"/>
    <x v="6"/>
    <x v="3"/>
    <x v="281"/>
    <n v="14"/>
    <x v="1"/>
    <x v="313"/>
    <n v="3"/>
    <x v="1"/>
    <n v="0"/>
    <x v="5"/>
    <x v="0"/>
  </r>
  <r>
    <s v="DBK-CMP-101057"/>
    <s v="DBK-CUS-501057"/>
    <x v="7"/>
    <x v="2"/>
    <x v="86"/>
    <n v="12"/>
    <x v="1"/>
    <x v="57"/>
    <n v="4"/>
    <x v="1"/>
    <n v="0"/>
    <x v="11"/>
    <x v="0"/>
  </r>
  <r>
    <s v="DBK-CMP-101058"/>
    <s v="DBK-CUS-501058"/>
    <x v="1"/>
    <x v="1"/>
    <x v="259"/>
    <n v="8"/>
    <x v="1"/>
    <x v="255"/>
    <n v="4"/>
    <x v="1"/>
    <n v="0"/>
    <x v="7"/>
    <x v="0"/>
  </r>
  <r>
    <s v="DBK-CMP-101059"/>
    <s v="DBK-CUS-501059"/>
    <x v="3"/>
    <x v="1"/>
    <x v="248"/>
    <n v="29"/>
    <x v="1"/>
    <x v="164"/>
    <n v="2"/>
    <x v="1"/>
    <n v="1"/>
    <x v="3"/>
    <x v="1"/>
  </r>
  <r>
    <s v="DBK-CMP-101060"/>
    <s v="DBK-CUS-501060"/>
    <x v="1"/>
    <x v="0"/>
    <x v="144"/>
    <n v="13"/>
    <x v="1"/>
    <x v="34"/>
    <n v="3"/>
    <x v="1"/>
    <n v="0"/>
    <x v="2"/>
    <x v="0"/>
  </r>
  <r>
    <s v="DBK-CMP-101061"/>
    <s v="DBK-CUS-501061"/>
    <x v="7"/>
    <x v="4"/>
    <x v="190"/>
    <n v="9"/>
    <x v="1"/>
    <x v="276"/>
    <n v="4"/>
    <x v="1"/>
    <n v="0"/>
    <x v="7"/>
    <x v="0"/>
  </r>
  <r>
    <s v="DBK-CMP-101062"/>
    <s v="DBK-CUS-501062"/>
    <x v="1"/>
    <x v="1"/>
    <x v="342"/>
    <n v="8"/>
    <x v="1"/>
    <x v="314"/>
    <n v="4"/>
    <x v="1"/>
    <n v="0"/>
    <x v="1"/>
    <x v="0"/>
  </r>
  <r>
    <s v="DBK-CMP-101063"/>
    <s v="DBK-CUS-501063"/>
    <x v="2"/>
    <x v="1"/>
    <x v="93"/>
    <n v="88"/>
    <x v="1"/>
    <x v="306"/>
    <n v="5"/>
    <x v="1"/>
    <n v="3"/>
    <x v="1"/>
    <x v="2"/>
  </r>
  <r>
    <s v="DBK-CMP-101064"/>
    <s v="DBK-CUS-501064"/>
    <x v="1"/>
    <x v="4"/>
    <x v="174"/>
    <n v="33"/>
    <x v="1"/>
    <x v="235"/>
    <n v="5"/>
    <x v="1"/>
    <n v="1"/>
    <x v="0"/>
    <x v="1"/>
  </r>
  <r>
    <s v="DBK-CMP-101065"/>
    <s v="DBK-CUS-501065"/>
    <x v="2"/>
    <x v="4"/>
    <x v="59"/>
    <n v="35"/>
    <x v="1"/>
    <x v="205"/>
    <n v="2"/>
    <x v="1"/>
    <n v="1"/>
    <x v="11"/>
    <x v="1"/>
  </r>
  <r>
    <s v="DBK-CMP-101066"/>
    <s v="DBK-CUS-501066"/>
    <x v="3"/>
    <x v="1"/>
    <x v="22"/>
    <n v="59"/>
    <x v="1"/>
    <x v="219"/>
    <n v="1"/>
    <x v="1"/>
    <n v="2"/>
    <x v="8"/>
    <x v="1"/>
  </r>
  <r>
    <s v="DBK-CMP-101067"/>
    <s v="DBK-CUS-501067"/>
    <x v="1"/>
    <x v="2"/>
    <x v="142"/>
    <n v="32"/>
    <x v="0"/>
    <x v="0"/>
    <m/>
    <x v="0"/>
    <s v=" "/>
    <x v="9"/>
    <x v="1"/>
  </r>
  <r>
    <s v="DBK-CMP-101068"/>
    <s v="DBK-CUS-501068"/>
    <x v="0"/>
    <x v="1"/>
    <x v="321"/>
    <n v="38"/>
    <x v="1"/>
    <x v="315"/>
    <n v="2"/>
    <x v="1"/>
    <n v="1"/>
    <x v="6"/>
    <x v="1"/>
  </r>
  <r>
    <s v="DBK-CMP-101069"/>
    <s v="DBK-CUS-501069"/>
    <x v="3"/>
    <x v="4"/>
    <x v="135"/>
    <n v="48"/>
    <x v="1"/>
    <x v="292"/>
    <n v="5"/>
    <x v="1"/>
    <n v="2"/>
    <x v="8"/>
    <x v="1"/>
  </r>
  <r>
    <s v="DBK-CMP-101070"/>
    <s v="DBK-CUS-501070"/>
    <x v="6"/>
    <x v="2"/>
    <x v="33"/>
    <n v="12"/>
    <x v="1"/>
    <x v="22"/>
    <n v="4"/>
    <x v="1"/>
    <n v="0"/>
    <x v="8"/>
    <x v="0"/>
  </r>
  <r>
    <s v="DBK-CMP-101071"/>
    <s v="DBK-CUS-501071"/>
    <x v="1"/>
    <x v="3"/>
    <x v="277"/>
    <n v="31"/>
    <x v="0"/>
    <x v="0"/>
    <m/>
    <x v="0"/>
    <s v=" "/>
    <x v="2"/>
    <x v="1"/>
  </r>
  <r>
    <s v="DBK-CMP-101072"/>
    <s v="DBK-CUS-501072"/>
    <x v="4"/>
    <x v="3"/>
    <x v="56"/>
    <n v="42"/>
    <x v="0"/>
    <x v="0"/>
    <m/>
    <x v="0"/>
    <s v=" "/>
    <x v="7"/>
    <x v="1"/>
  </r>
  <r>
    <s v="DBK-CMP-101073"/>
    <s v="DBK-CUS-501073"/>
    <x v="2"/>
    <x v="2"/>
    <x v="211"/>
    <n v="93"/>
    <x v="1"/>
    <x v="122"/>
    <n v="1"/>
    <x v="1"/>
    <n v="3"/>
    <x v="7"/>
    <x v="2"/>
  </r>
  <r>
    <s v="DBK-CMP-101074"/>
    <s v="DBK-CUS-501074"/>
    <x v="3"/>
    <x v="2"/>
    <x v="151"/>
    <n v="53"/>
    <x v="2"/>
    <x v="0"/>
    <m/>
    <x v="0"/>
    <s v=" "/>
    <x v="10"/>
    <x v="1"/>
  </r>
  <r>
    <s v="DBK-CMP-101075"/>
    <s v="DBK-CUS-501075"/>
    <x v="6"/>
    <x v="4"/>
    <x v="67"/>
    <n v="16"/>
    <x v="1"/>
    <x v="44"/>
    <n v="5"/>
    <x v="1"/>
    <n v="0"/>
    <x v="8"/>
    <x v="0"/>
  </r>
  <r>
    <s v="DBK-CMP-101076"/>
    <s v="DBK-CUS-501076"/>
    <x v="6"/>
    <x v="2"/>
    <x v="152"/>
    <n v="4"/>
    <x v="1"/>
    <x v="157"/>
    <n v="5"/>
    <x v="1"/>
    <n v="0"/>
    <x v="1"/>
    <x v="0"/>
  </r>
  <r>
    <s v="DBK-CMP-101077"/>
    <s v="DBK-CUS-501077"/>
    <x v="7"/>
    <x v="3"/>
    <x v="320"/>
    <n v="24"/>
    <x v="2"/>
    <x v="0"/>
    <m/>
    <x v="0"/>
    <s v=" "/>
    <x v="5"/>
    <x v="0"/>
  </r>
  <r>
    <s v="DBK-CMP-101078"/>
    <s v="DBK-CUS-501078"/>
    <x v="5"/>
    <x v="2"/>
    <x v="179"/>
    <n v="6"/>
    <x v="2"/>
    <x v="0"/>
    <m/>
    <x v="0"/>
    <s v=" "/>
    <x v="7"/>
    <x v="0"/>
  </r>
  <r>
    <s v="DBK-CMP-101079"/>
    <s v="DBK-CUS-501079"/>
    <x v="0"/>
    <x v="4"/>
    <x v="188"/>
    <n v="44"/>
    <x v="2"/>
    <x v="0"/>
    <m/>
    <x v="0"/>
    <s v=" "/>
    <x v="2"/>
    <x v="1"/>
  </r>
  <r>
    <s v="DBK-CMP-101080"/>
    <s v="DBK-CUS-501080"/>
    <x v="0"/>
    <x v="2"/>
    <x v="343"/>
    <n v="21"/>
    <x v="0"/>
    <x v="0"/>
    <m/>
    <x v="0"/>
    <s v=" "/>
    <x v="4"/>
    <x v="0"/>
  </r>
  <r>
    <s v="DBK-CMP-101081"/>
    <s v="DBK-CUS-501081"/>
    <x v="3"/>
    <x v="0"/>
    <x v="344"/>
    <n v="59"/>
    <x v="1"/>
    <x v="306"/>
    <n v="1"/>
    <x v="1"/>
    <n v="2"/>
    <x v="1"/>
    <x v="1"/>
  </r>
  <r>
    <s v="DBK-CMP-101082"/>
    <s v="DBK-CUS-501082"/>
    <x v="0"/>
    <x v="3"/>
    <x v="260"/>
    <n v="38"/>
    <x v="1"/>
    <x v="316"/>
    <n v="2"/>
    <x v="1"/>
    <n v="1"/>
    <x v="5"/>
    <x v="1"/>
  </r>
  <r>
    <s v="DBK-CMP-101083"/>
    <s v="DBK-CUS-501083"/>
    <x v="1"/>
    <x v="3"/>
    <x v="103"/>
    <n v="32"/>
    <x v="0"/>
    <x v="0"/>
    <m/>
    <x v="0"/>
    <s v=" "/>
    <x v="5"/>
    <x v="1"/>
  </r>
  <r>
    <s v="DBK-CMP-101084"/>
    <s v="DBK-CUS-501084"/>
    <x v="5"/>
    <x v="4"/>
    <x v="83"/>
    <n v="12"/>
    <x v="1"/>
    <x v="184"/>
    <n v="4"/>
    <x v="1"/>
    <n v="0"/>
    <x v="6"/>
    <x v="0"/>
  </r>
  <r>
    <s v="DBK-CMP-101085"/>
    <s v="DBK-CUS-501085"/>
    <x v="1"/>
    <x v="1"/>
    <x v="196"/>
    <n v="12"/>
    <x v="1"/>
    <x v="165"/>
    <n v="4"/>
    <x v="1"/>
    <n v="0"/>
    <x v="9"/>
    <x v="0"/>
  </r>
  <r>
    <s v="DBK-CMP-101086"/>
    <s v="DBK-CUS-501086"/>
    <x v="1"/>
    <x v="2"/>
    <x v="178"/>
    <n v="6"/>
    <x v="1"/>
    <x v="133"/>
    <n v="5"/>
    <x v="1"/>
    <n v="0"/>
    <x v="10"/>
    <x v="0"/>
  </r>
  <r>
    <s v="DBK-CMP-101087"/>
    <s v="DBK-CUS-501087"/>
    <x v="2"/>
    <x v="1"/>
    <x v="135"/>
    <n v="68"/>
    <x v="1"/>
    <x v="292"/>
    <n v="1"/>
    <x v="1"/>
    <n v="2"/>
    <x v="8"/>
    <x v="1"/>
  </r>
  <r>
    <s v="DBK-CMP-101088"/>
    <s v="DBK-CUS-501088"/>
    <x v="7"/>
    <x v="4"/>
    <x v="42"/>
    <n v="5"/>
    <x v="2"/>
    <x v="0"/>
    <m/>
    <x v="0"/>
    <s v=" "/>
    <x v="9"/>
    <x v="0"/>
  </r>
  <r>
    <s v="DBK-CMP-101089"/>
    <s v="DBK-CUS-501089"/>
    <x v="2"/>
    <x v="3"/>
    <x v="26"/>
    <n v="93"/>
    <x v="0"/>
    <x v="0"/>
    <m/>
    <x v="0"/>
    <s v=" "/>
    <x v="8"/>
    <x v="2"/>
  </r>
  <r>
    <s v="DBK-CMP-101090"/>
    <s v="DBK-CUS-501090"/>
    <x v="5"/>
    <x v="2"/>
    <x v="16"/>
    <n v="4"/>
    <x v="2"/>
    <x v="0"/>
    <m/>
    <x v="0"/>
    <s v=" "/>
    <x v="5"/>
    <x v="0"/>
  </r>
  <r>
    <s v="DBK-CMP-101091"/>
    <s v="DBK-CUS-501091"/>
    <x v="6"/>
    <x v="3"/>
    <x v="191"/>
    <n v="15"/>
    <x v="1"/>
    <x v="140"/>
    <n v="3"/>
    <x v="1"/>
    <n v="0"/>
    <x v="2"/>
    <x v="0"/>
  </r>
  <r>
    <s v="DBK-CMP-101092"/>
    <s v="DBK-CUS-501092"/>
    <x v="6"/>
    <x v="0"/>
    <x v="274"/>
    <n v="8"/>
    <x v="0"/>
    <x v="0"/>
    <m/>
    <x v="0"/>
    <s v=" "/>
    <x v="5"/>
    <x v="0"/>
  </r>
  <r>
    <s v="DBK-CMP-101093"/>
    <s v="DBK-CUS-501093"/>
    <x v="7"/>
    <x v="0"/>
    <x v="119"/>
    <n v="23"/>
    <x v="1"/>
    <x v="68"/>
    <n v="3"/>
    <x v="1"/>
    <n v="0"/>
    <x v="7"/>
    <x v="0"/>
  </r>
  <r>
    <s v="DBK-CMP-101094"/>
    <s v="DBK-CUS-501094"/>
    <x v="2"/>
    <x v="2"/>
    <x v="131"/>
    <n v="88"/>
    <x v="1"/>
    <x v="10"/>
    <n v="1"/>
    <x v="1"/>
    <n v="3"/>
    <x v="5"/>
    <x v="2"/>
  </r>
  <r>
    <s v="DBK-CMP-101095"/>
    <s v="DBK-CUS-501095"/>
    <x v="2"/>
    <x v="3"/>
    <x v="9"/>
    <n v="29"/>
    <x v="1"/>
    <x v="97"/>
    <n v="2"/>
    <x v="1"/>
    <n v="1"/>
    <x v="3"/>
    <x v="1"/>
  </r>
  <r>
    <s v="DBK-CMP-101096"/>
    <s v="DBK-CUS-501096"/>
    <x v="3"/>
    <x v="0"/>
    <x v="96"/>
    <n v="58"/>
    <x v="0"/>
    <x v="0"/>
    <m/>
    <x v="0"/>
    <s v=" "/>
    <x v="7"/>
    <x v="1"/>
  </r>
  <r>
    <s v="DBK-CMP-101097"/>
    <s v="DBK-CUS-501097"/>
    <x v="5"/>
    <x v="3"/>
    <x v="313"/>
    <n v="3"/>
    <x v="0"/>
    <x v="0"/>
    <m/>
    <x v="0"/>
    <s v=" "/>
    <x v="9"/>
    <x v="0"/>
  </r>
  <r>
    <s v="DBK-CMP-101098"/>
    <s v="DBK-CUS-501098"/>
    <x v="6"/>
    <x v="2"/>
    <x v="23"/>
    <n v="4"/>
    <x v="1"/>
    <x v="14"/>
    <n v="5"/>
    <x v="1"/>
    <n v="0"/>
    <x v="11"/>
    <x v="0"/>
  </r>
  <r>
    <s v="DBK-CMP-101099"/>
    <s v="DBK-CUS-501099"/>
    <x v="6"/>
    <x v="4"/>
    <x v="233"/>
    <n v="2"/>
    <x v="1"/>
    <x v="171"/>
    <n v="5"/>
    <x v="1"/>
    <n v="0"/>
    <x v="9"/>
    <x v="0"/>
  </r>
  <r>
    <s v="DBK-CMP-101100"/>
    <s v="DBK-CUS-501100"/>
    <x v="4"/>
    <x v="2"/>
    <x v="43"/>
    <n v="21"/>
    <x v="0"/>
    <x v="0"/>
    <m/>
    <x v="0"/>
    <s v=" "/>
    <x v="11"/>
    <x v="0"/>
  </r>
  <r>
    <s v="DBK-CMP-101101"/>
    <s v="DBK-CUS-501101"/>
    <x v="2"/>
    <x v="0"/>
    <x v="28"/>
    <n v="60"/>
    <x v="1"/>
    <x v="192"/>
    <n v="1"/>
    <x v="1"/>
    <n v="2"/>
    <x v="7"/>
    <x v="1"/>
  </r>
  <r>
    <s v="DBK-CMP-101102"/>
    <s v="DBK-CUS-501102"/>
    <x v="6"/>
    <x v="2"/>
    <x v="263"/>
    <n v="4"/>
    <x v="1"/>
    <x v="93"/>
    <n v="5"/>
    <x v="1"/>
    <n v="0"/>
    <x v="7"/>
    <x v="0"/>
  </r>
  <r>
    <s v="DBK-CMP-101103"/>
    <s v="DBK-CUS-501103"/>
    <x v="1"/>
    <x v="4"/>
    <x v="162"/>
    <n v="5"/>
    <x v="1"/>
    <x v="252"/>
    <n v="5"/>
    <x v="1"/>
    <n v="0"/>
    <x v="6"/>
    <x v="0"/>
  </r>
  <r>
    <s v="DBK-CMP-101104"/>
    <s v="DBK-CUS-501104"/>
    <x v="5"/>
    <x v="3"/>
    <x v="266"/>
    <n v="1"/>
    <x v="2"/>
    <x v="0"/>
    <m/>
    <x v="0"/>
    <s v=" "/>
    <x v="1"/>
    <x v="0"/>
  </r>
  <r>
    <s v="DBK-CMP-101105"/>
    <s v="DBK-CUS-501105"/>
    <x v="0"/>
    <x v="3"/>
    <x v="6"/>
    <n v="38"/>
    <x v="2"/>
    <x v="0"/>
    <m/>
    <x v="0"/>
    <s v=" "/>
    <x v="5"/>
    <x v="1"/>
  </r>
  <r>
    <s v="DBK-CMP-101106"/>
    <s v="DBK-CUS-501106"/>
    <x v="0"/>
    <x v="3"/>
    <x v="331"/>
    <n v="27"/>
    <x v="1"/>
    <x v="84"/>
    <n v="2"/>
    <x v="1"/>
    <n v="1"/>
    <x v="0"/>
    <x v="1"/>
  </r>
  <r>
    <s v="DBK-CMP-101107"/>
    <s v="DBK-CUS-501107"/>
    <x v="3"/>
    <x v="2"/>
    <x v="273"/>
    <n v="35"/>
    <x v="1"/>
    <x v="48"/>
    <n v="2"/>
    <x v="1"/>
    <n v="1"/>
    <x v="4"/>
    <x v="1"/>
  </r>
  <r>
    <s v="DBK-CMP-101108"/>
    <s v="DBK-CUS-501108"/>
    <x v="7"/>
    <x v="0"/>
    <x v="4"/>
    <n v="11"/>
    <x v="0"/>
    <x v="0"/>
    <m/>
    <x v="0"/>
    <s v=" "/>
    <x v="3"/>
    <x v="0"/>
  </r>
  <r>
    <s v="DBK-CMP-101109"/>
    <s v="DBK-CUS-501109"/>
    <x v="7"/>
    <x v="1"/>
    <x v="60"/>
    <n v="18"/>
    <x v="1"/>
    <x v="317"/>
    <n v="3"/>
    <x v="1"/>
    <n v="0"/>
    <x v="5"/>
    <x v="0"/>
  </r>
  <r>
    <s v="DBK-CMP-101110"/>
    <s v="DBK-CUS-501110"/>
    <x v="3"/>
    <x v="3"/>
    <x v="268"/>
    <n v="47"/>
    <x v="1"/>
    <x v="308"/>
    <n v="2"/>
    <x v="1"/>
    <n v="1"/>
    <x v="6"/>
    <x v="1"/>
  </r>
  <r>
    <s v="DBK-CMP-101111"/>
    <s v="DBK-CUS-501111"/>
    <x v="5"/>
    <x v="3"/>
    <x v="30"/>
    <n v="5"/>
    <x v="1"/>
    <x v="269"/>
    <n v="5"/>
    <x v="1"/>
    <n v="0"/>
    <x v="9"/>
    <x v="0"/>
  </r>
  <r>
    <s v="DBK-CMP-101112"/>
    <s v="DBK-CUS-501112"/>
    <x v="1"/>
    <x v="3"/>
    <x v="50"/>
    <n v="24"/>
    <x v="0"/>
    <x v="0"/>
    <m/>
    <x v="0"/>
    <s v=" "/>
    <x v="9"/>
    <x v="0"/>
  </r>
  <r>
    <s v="DBK-CMP-101113"/>
    <s v="DBK-CUS-501113"/>
    <x v="6"/>
    <x v="0"/>
    <x v="337"/>
    <n v="20"/>
    <x v="0"/>
    <x v="0"/>
    <m/>
    <x v="0"/>
    <s v=" "/>
    <x v="1"/>
    <x v="0"/>
  </r>
  <r>
    <s v="DBK-CMP-101114"/>
    <s v="DBK-CUS-501114"/>
    <x v="5"/>
    <x v="0"/>
    <x v="210"/>
    <n v="7"/>
    <x v="0"/>
    <x v="0"/>
    <m/>
    <x v="0"/>
    <s v=" "/>
    <x v="10"/>
    <x v="0"/>
  </r>
  <r>
    <s v="DBK-CMP-101115"/>
    <s v="DBK-CUS-501115"/>
    <x v="2"/>
    <x v="0"/>
    <x v="252"/>
    <n v="79"/>
    <x v="1"/>
    <x v="137"/>
    <n v="5"/>
    <x v="1"/>
    <n v="3"/>
    <x v="8"/>
    <x v="2"/>
  </r>
  <r>
    <s v="DBK-CMP-101116"/>
    <s v="DBK-CUS-501116"/>
    <x v="4"/>
    <x v="0"/>
    <x v="47"/>
    <n v="10"/>
    <x v="1"/>
    <x v="152"/>
    <n v="4"/>
    <x v="1"/>
    <n v="0"/>
    <x v="6"/>
    <x v="0"/>
  </r>
  <r>
    <s v="DBK-CMP-101117"/>
    <s v="DBK-CUS-501117"/>
    <x v="5"/>
    <x v="2"/>
    <x v="245"/>
    <n v="3"/>
    <x v="1"/>
    <x v="30"/>
    <n v="5"/>
    <x v="1"/>
    <n v="0"/>
    <x v="11"/>
    <x v="0"/>
  </r>
  <r>
    <s v="DBK-CMP-101118"/>
    <s v="DBK-CUS-501118"/>
    <x v="6"/>
    <x v="2"/>
    <x v="169"/>
    <n v="9"/>
    <x v="1"/>
    <x v="6"/>
    <n v="4"/>
    <x v="1"/>
    <n v="0"/>
    <x v="9"/>
    <x v="0"/>
  </r>
  <r>
    <s v="DBK-CMP-101119"/>
    <s v="DBK-CUS-501119"/>
    <x v="1"/>
    <x v="0"/>
    <x v="79"/>
    <n v="5"/>
    <x v="1"/>
    <x v="52"/>
    <n v="5"/>
    <x v="1"/>
    <n v="0"/>
    <x v="2"/>
    <x v="0"/>
  </r>
  <r>
    <s v="DBK-CMP-101120"/>
    <s v="DBK-CUS-501120"/>
    <x v="0"/>
    <x v="2"/>
    <x v="281"/>
    <n v="15"/>
    <x v="0"/>
    <x v="0"/>
    <m/>
    <x v="0"/>
    <s v=" "/>
    <x v="5"/>
    <x v="0"/>
  </r>
  <r>
    <s v="DBK-CMP-101121"/>
    <s v="DBK-CUS-501121"/>
    <x v="7"/>
    <x v="0"/>
    <x v="112"/>
    <n v="23"/>
    <x v="1"/>
    <x v="144"/>
    <n v="3"/>
    <x v="1"/>
    <n v="0"/>
    <x v="5"/>
    <x v="0"/>
  </r>
  <r>
    <s v="DBK-CMP-101122"/>
    <s v="DBK-CUS-501122"/>
    <x v="4"/>
    <x v="3"/>
    <x v="253"/>
    <n v="42"/>
    <x v="1"/>
    <x v="226"/>
    <n v="2"/>
    <x v="1"/>
    <n v="1"/>
    <x v="1"/>
    <x v="1"/>
  </r>
  <r>
    <s v="DBK-CMP-101123"/>
    <s v="DBK-CUS-501123"/>
    <x v="2"/>
    <x v="2"/>
    <x v="246"/>
    <n v="74"/>
    <x v="2"/>
    <x v="0"/>
    <m/>
    <x v="0"/>
    <s v=" "/>
    <x v="1"/>
    <x v="2"/>
  </r>
  <r>
    <s v="DBK-CMP-101124"/>
    <s v="DBK-CUS-501124"/>
    <x v="3"/>
    <x v="4"/>
    <x v="345"/>
    <n v="33"/>
    <x v="2"/>
    <x v="0"/>
    <m/>
    <x v="0"/>
    <s v=" "/>
    <x v="2"/>
    <x v="1"/>
  </r>
  <r>
    <s v="DBK-CMP-101125"/>
    <s v="DBK-CUS-501125"/>
    <x v="0"/>
    <x v="0"/>
    <x v="157"/>
    <n v="22"/>
    <x v="1"/>
    <x v="318"/>
    <n v="3"/>
    <x v="1"/>
    <n v="0"/>
    <x v="6"/>
    <x v="0"/>
  </r>
  <r>
    <s v="DBK-CMP-101126"/>
    <s v="DBK-CUS-501126"/>
    <x v="0"/>
    <x v="2"/>
    <x v="33"/>
    <n v="13"/>
    <x v="1"/>
    <x v="22"/>
    <n v="3"/>
    <x v="1"/>
    <n v="0"/>
    <x v="8"/>
    <x v="0"/>
  </r>
  <r>
    <s v="DBK-CMP-101127"/>
    <s v="DBK-CUS-501127"/>
    <x v="2"/>
    <x v="0"/>
    <x v="247"/>
    <n v="87"/>
    <x v="1"/>
    <x v="206"/>
    <n v="1"/>
    <x v="1"/>
    <n v="3"/>
    <x v="6"/>
    <x v="2"/>
  </r>
  <r>
    <s v="DBK-CMP-101128"/>
    <s v="DBK-CUS-501128"/>
    <x v="7"/>
    <x v="3"/>
    <x v="263"/>
    <n v="9"/>
    <x v="1"/>
    <x v="93"/>
    <n v="4"/>
    <x v="1"/>
    <n v="0"/>
    <x v="7"/>
    <x v="0"/>
  </r>
  <r>
    <s v="DBK-CMP-101129"/>
    <s v="DBK-CUS-501129"/>
    <x v="3"/>
    <x v="0"/>
    <x v="346"/>
    <n v="30"/>
    <x v="0"/>
    <x v="0"/>
    <m/>
    <x v="0"/>
    <s v=" "/>
    <x v="7"/>
    <x v="1"/>
  </r>
  <r>
    <s v="DBK-CMP-101130"/>
    <s v="DBK-CUS-501130"/>
    <x v="2"/>
    <x v="3"/>
    <x v="177"/>
    <n v="55"/>
    <x v="2"/>
    <x v="0"/>
    <m/>
    <x v="0"/>
    <s v=" "/>
    <x v="3"/>
    <x v="1"/>
  </r>
  <r>
    <s v="DBK-CMP-101131"/>
    <s v="DBK-CUS-501131"/>
    <x v="4"/>
    <x v="0"/>
    <x v="152"/>
    <n v="10"/>
    <x v="1"/>
    <x v="157"/>
    <n v="4"/>
    <x v="1"/>
    <n v="0"/>
    <x v="1"/>
    <x v="0"/>
  </r>
  <r>
    <s v="DBK-CMP-101132"/>
    <s v="DBK-CUS-501132"/>
    <x v="2"/>
    <x v="1"/>
    <x v="347"/>
    <n v="53"/>
    <x v="1"/>
    <x v="204"/>
    <n v="1"/>
    <x v="1"/>
    <n v="2"/>
    <x v="1"/>
    <x v="1"/>
  </r>
  <r>
    <s v="DBK-CMP-101133"/>
    <s v="DBK-CUS-501133"/>
    <x v="1"/>
    <x v="1"/>
    <x v="111"/>
    <n v="33"/>
    <x v="1"/>
    <x v="60"/>
    <n v="2"/>
    <x v="1"/>
    <n v="1"/>
    <x v="6"/>
    <x v="1"/>
  </r>
  <r>
    <s v="DBK-CMP-101134"/>
    <s v="DBK-CUS-501134"/>
    <x v="3"/>
    <x v="3"/>
    <x v="102"/>
    <n v="41"/>
    <x v="2"/>
    <x v="0"/>
    <m/>
    <x v="0"/>
    <s v=" "/>
    <x v="7"/>
    <x v="1"/>
  </r>
  <r>
    <s v="DBK-CMP-101135"/>
    <s v="DBK-CUS-501135"/>
    <x v="3"/>
    <x v="4"/>
    <x v="283"/>
    <n v="69"/>
    <x v="1"/>
    <x v="284"/>
    <n v="1"/>
    <x v="1"/>
    <n v="2"/>
    <x v="10"/>
    <x v="1"/>
  </r>
  <r>
    <s v="DBK-CMP-101136"/>
    <s v="DBK-CUS-501136"/>
    <x v="1"/>
    <x v="2"/>
    <x v="175"/>
    <n v="31"/>
    <x v="1"/>
    <x v="196"/>
    <n v="2"/>
    <x v="1"/>
    <n v="1"/>
    <x v="10"/>
    <x v="1"/>
  </r>
  <r>
    <s v="DBK-CMP-101137"/>
    <s v="DBK-CUS-501137"/>
    <x v="1"/>
    <x v="4"/>
    <x v="146"/>
    <n v="19"/>
    <x v="1"/>
    <x v="185"/>
    <n v="3"/>
    <x v="1"/>
    <n v="0"/>
    <x v="9"/>
    <x v="0"/>
  </r>
  <r>
    <s v="DBK-CMP-101138"/>
    <s v="DBK-CUS-501138"/>
    <x v="5"/>
    <x v="2"/>
    <x v="286"/>
    <n v="12"/>
    <x v="1"/>
    <x v="319"/>
    <n v="4"/>
    <x v="1"/>
    <n v="0"/>
    <x v="5"/>
    <x v="0"/>
  </r>
  <r>
    <s v="DBK-CMP-101139"/>
    <s v="DBK-CUS-501139"/>
    <x v="1"/>
    <x v="4"/>
    <x v="201"/>
    <n v="33"/>
    <x v="2"/>
    <x v="0"/>
    <m/>
    <x v="0"/>
    <s v=" "/>
    <x v="5"/>
    <x v="1"/>
  </r>
  <r>
    <s v="DBK-CMP-101140"/>
    <s v="DBK-CUS-501140"/>
    <x v="6"/>
    <x v="1"/>
    <x v="160"/>
    <n v="18"/>
    <x v="1"/>
    <x v="300"/>
    <n v="3"/>
    <x v="1"/>
    <n v="0"/>
    <x v="3"/>
    <x v="0"/>
  </r>
  <r>
    <s v="DBK-CMP-101141"/>
    <s v="DBK-CUS-501141"/>
    <x v="1"/>
    <x v="1"/>
    <x v="210"/>
    <n v="21"/>
    <x v="1"/>
    <x v="196"/>
    <n v="3"/>
    <x v="1"/>
    <n v="0"/>
    <x v="10"/>
    <x v="0"/>
  </r>
  <r>
    <s v="DBK-CMP-101142"/>
    <s v="DBK-CUS-501142"/>
    <x v="3"/>
    <x v="2"/>
    <x v="261"/>
    <n v="40"/>
    <x v="0"/>
    <x v="0"/>
    <m/>
    <x v="0"/>
    <s v=" "/>
    <x v="4"/>
    <x v="1"/>
  </r>
  <r>
    <s v="DBK-CMP-101143"/>
    <s v="DBK-CUS-501143"/>
    <x v="2"/>
    <x v="4"/>
    <x v="65"/>
    <n v="39"/>
    <x v="1"/>
    <x v="320"/>
    <n v="2"/>
    <x v="1"/>
    <n v="1"/>
    <x v="3"/>
    <x v="1"/>
  </r>
  <r>
    <s v="DBK-CMP-101144"/>
    <s v="DBK-CUS-501144"/>
    <x v="3"/>
    <x v="4"/>
    <x v="50"/>
    <n v="26"/>
    <x v="2"/>
    <x v="0"/>
    <m/>
    <x v="0"/>
    <s v=" "/>
    <x v="9"/>
    <x v="1"/>
  </r>
  <r>
    <s v="DBK-CMP-101145"/>
    <s v="DBK-CUS-501145"/>
    <x v="2"/>
    <x v="4"/>
    <x v="88"/>
    <n v="34"/>
    <x v="1"/>
    <x v="209"/>
    <n v="5"/>
    <x v="1"/>
    <n v="1"/>
    <x v="6"/>
    <x v="1"/>
  </r>
  <r>
    <s v="DBK-CMP-101146"/>
    <s v="DBK-CUS-501146"/>
    <x v="6"/>
    <x v="2"/>
    <x v="209"/>
    <n v="23"/>
    <x v="0"/>
    <x v="0"/>
    <m/>
    <x v="0"/>
    <s v=" "/>
    <x v="1"/>
    <x v="0"/>
  </r>
  <r>
    <s v="DBK-CMP-101147"/>
    <s v="DBK-CUS-501147"/>
    <x v="1"/>
    <x v="4"/>
    <x v="326"/>
    <n v="7"/>
    <x v="1"/>
    <x v="233"/>
    <n v="4"/>
    <x v="1"/>
    <n v="0"/>
    <x v="0"/>
    <x v="0"/>
  </r>
  <r>
    <s v="DBK-CMP-101148"/>
    <s v="DBK-CUS-501148"/>
    <x v="4"/>
    <x v="4"/>
    <x v="259"/>
    <n v="19"/>
    <x v="1"/>
    <x v="255"/>
    <n v="3"/>
    <x v="1"/>
    <n v="0"/>
    <x v="7"/>
    <x v="0"/>
  </r>
  <r>
    <s v="DBK-CMP-101149"/>
    <s v="DBK-CUS-501149"/>
    <x v="6"/>
    <x v="3"/>
    <x v="257"/>
    <n v="17"/>
    <x v="1"/>
    <x v="191"/>
    <n v="5"/>
    <x v="1"/>
    <n v="0"/>
    <x v="2"/>
    <x v="0"/>
  </r>
  <r>
    <s v="DBK-CMP-101150"/>
    <s v="DBK-CUS-501150"/>
    <x v="4"/>
    <x v="2"/>
    <x v="30"/>
    <n v="61"/>
    <x v="1"/>
    <x v="64"/>
    <n v="5"/>
    <x v="1"/>
    <n v="2"/>
    <x v="9"/>
    <x v="1"/>
  </r>
  <r>
    <s v="DBK-CMP-101151"/>
    <s v="DBK-CUS-501151"/>
    <x v="5"/>
    <x v="2"/>
    <x v="59"/>
    <n v="5"/>
    <x v="1"/>
    <x v="38"/>
    <n v="5"/>
    <x v="1"/>
    <n v="0"/>
    <x v="11"/>
    <x v="0"/>
  </r>
  <r>
    <s v="DBK-CMP-101152"/>
    <s v="DBK-CUS-501152"/>
    <x v="1"/>
    <x v="3"/>
    <x v="335"/>
    <n v="7"/>
    <x v="1"/>
    <x v="305"/>
    <n v="4"/>
    <x v="1"/>
    <n v="0"/>
    <x v="2"/>
    <x v="0"/>
  </r>
  <r>
    <s v="DBK-CMP-101153"/>
    <s v="DBK-CUS-501153"/>
    <x v="5"/>
    <x v="2"/>
    <x v="348"/>
    <n v="2"/>
    <x v="2"/>
    <x v="0"/>
    <m/>
    <x v="0"/>
    <s v=" "/>
    <x v="5"/>
    <x v="0"/>
  </r>
  <r>
    <s v="DBK-CMP-101154"/>
    <s v="DBK-CUS-501154"/>
    <x v="3"/>
    <x v="2"/>
    <x v="335"/>
    <n v="29"/>
    <x v="1"/>
    <x v="191"/>
    <n v="2"/>
    <x v="1"/>
    <n v="1"/>
    <x v="2"/>
    <x v="1"/>
  </r>
  <r>
    <s v="DBK-CMP-101155"/>
    <s v="DBK-CUS-501155"/>
    <x v="7"/>
    <x v="1"/>
    <x v="209"/>
    <n v="9"/>
    <x v="1"/>
    <x v="79"/>
    <n v="4"/>
    <x v="1"/>
    <n v="0"/>
    <x v="1"/>
    <x v="0"/>
  </r>
  <r>
    <s v="DBK-CMP-101156"/>
    <s v="DBK-CUS-501156"/>
    <x v="0"/>
    <x v="0"/>
    <x v="148"/>
    <n v="11"/>
    <x v="1"/>
    <x v="217"/>
    <n v="4"/>
    <x v="1"/>
    <n v="0"/>
    <x v="3"/>
    <x v="0"/>
  </r>
  <r>
    <s v="DBK-CMP-101157"/>
    <s v="DBK-CUS-501157"/>
    <x v="6"/>
    <x v="3"/>
    <x v="204"/>
    <n v="13"/>
    <x v="1"/>
    <x v="304"/>
    <n v="3"/>
    <x v="1"/>
    <n v="0"/>
    <x v="5"/>
    <x v="0"/>
  </r>
  <r>
    <s v="DBK-CMP-101158"/>
    <s v="DBK-CUS-501158"/>
    <x v="7"/>
    <x v="3"/>
    <x v="70"/>
    <n v="19"/>
    <x v="2"/>
    <x v="0"/>
    <m/>
    <x v="0"/>
    <s v=" "/>
    <x v="4"/>
    <x v="0"/>
  </r>
  <r>
    <s v="DBK-CMP-101159"/>
    <s v="DBK-CUS-501159"/>
    <x v="0"/>
    <x v="3"/>
    <x v="189"/>
    <n v="5"/>
    <x v="0"/>
    <x v="0"/>
    <m/>
    <x v="0"/>
    <s v=" "/>
    <x v="2"/>
    <x v="0"/>
  </r>
  <r>
    <s v="DBK-CMP-101160"/>
    <s v="DBK-CUS-501160"/>
    <x v="7"/>
    <x v="3"/>
    <x v="3"/>
    <n v="11"/>
    <x v="0"/>
    <x v="0"/>
    <m/>
    <x v="0"/>
    <s v=" "/>
    <x v="2"/>
    <x v="0"/>
  </r>
  <r>
    <s v="DBK-CMP-101161"/>
    <s v="DBK-CUS-501161"/>
    <x v="3"/>
    <x v="3"/>
    <x v="174"/>
    <n v="67"/>
    <x v="1"/>
    <x v="233"/>
    <n v="1"/>
    <x v="1"/>
    <n v="2"/>
    <x v="0"/>
    <x v="1"/>
  </r>
  <r>
    <s v="DBK-CMP-101162"/>
    <s v="DBK-CUS-501162"/>
    <x v="7"/>
    <x v="0"/>
    <x v="100"/>
    <n v="7"/>
    <x v="2"/>
    <x v="0"/>
    <m/>
    <x v="0"/>
    <s v=" "/>
    <x v="0"/>
    <x v="0"/>
  </r>
  <r>
    <s v="DBK-CMP-101163"/>
    <s v="DBK-CUS-501163"/>
    <x v="6"/>
    <x v="0"/>
    <x v="13"/>
    <n v="10"/>
    <x v="1"/>
    <x v="7"/>
    <n v="4"/>
    <x v="1"/>
    <n v="0"/>
    <x v="4"/>
    <x v="0"/>
  </r>
  <r>
    <s v="DBK-CMP-101164"/>
    <s v="DBK-CUS-501164"/>
    <x v="4"/>
    <x v="0"/>
    <x v="133"/>
    <n v="27"/>
    <x v="1"/>
    <x v="309"/>
    <n v="2"/>
    <x v="1"/>
    <n v="1"/>
    <x v="1"/>
    <x v="1"/>
  </r>
  <r>
    <s v="DBK-CMP-101165"/>
    <s v="DBK-CUS-501165"/>
    <x v="5"/>
    <x v="0"/>
    <x v="11"/>
    <n v="5"/>
    <x v="0"/>
    <x v="0"/>
    <m/>
    <x v="0"/>
    <s v=" "/>
    <x v="1"/>
    <x v="0"/>
  </r>
  <r>
    <s v="DBK-CMP-101166"/>
    <s v="DBK-CUS-501166"/>
    <x v="1"/>
    <x v="0"/>
    <x v="198"/>
    <n v="20"/>
    <x v="0"/>
    <x v="0"/>
    <m/>
    <x v="0"/>
    <s v=" "/>
    <x v="5"/>
    <x v="0"/>
  </r>
  <r>
    <s v="DBK-CMP-101167"/>
    <s v="DBK-CUS-501167"/>
    <x v="0"/>
    <x v="3"/>
    <x v="77"/>
    <n v="41"/>
    <x v="1"/>
    <x v="141"/>
    <n v="5"/>
    <x v="1"/>
    <n v="1"/>
    <x v="10"/>
    <x v="1"/>
  </r>
  <r>
    <s v="DBK-CMP-101168"/>
    <s v="DBK-CUS-501168"/>
    <x v="2"/>
    <x v="1"/>
    <x v="282"/>
    <n v="68"/>
    <x v="1"/>
    <x v="267"/>
    <n v="1"/>
    <x v="1"/>
    <n v="2"/>
    <x v="6"/>
    <x v="1"/>
  </r>
  <r>
    <s v="DBK-CMP-101169"/>
    <s v="DBK-CUS-501169"/>
    <x v="0"/>
    <x v="3"/>
    <x v="206"/>
    <n v="16"/>
    <x v="1"/>
    <x v="208"/>
    <n v="3"/>
    <x v="1"/>
    <n v="0"/>
    <x v="4"/>
    <x v="0"/>
  </r>
  <r>
    <s v="DBK-CMP-101170"/>
    <s v="DBK-CUS-501170"/>
    <x v="7"/>
    <x v="2"/>
    <x v="32"/>
    <n v="6"/>
    <x v="0"/>
    <x v="0"/>
    <m/>
    <x v="0"/>
    <s v=" "/>
    <x v="6"/>
    <x v="0"/>
  </r>
  <r>
    <s v="DBK-CMP-101171"/>
    <s v="DBK-CUS-501171"/>
    <x v="1"/>
    <x v="1"/>
    <x v="335"/>
    <n v="23"/>
    <x v="0"/>
    <x v="0"/>
    <m/>
    <x v="0"/>
    <s v=" "/>
    <x v="2"/>
    <x v="0"/>
  </r>
  <r>
    <s v="DBK-CMP-101172"/>
    <s v="DBK-CUS-501172"/>
    <x v="5"/>
    <x v="2"/>
    <x v="2"/>
    <n v="1"/>
    <x v="1"/>
    <x v="9"/>
    <n v="5"/>
    <x v="1"/>
    <n v="0"/>
    <x v="1"/>
    <x v="0"/>
  </r>
  <r>
    <s v="DBK-CMP-101173"/>
    <s v="DBK-CUS-501173"/>
    <x v="1"/>
    <x v="1"/>
    <x v="187"/>
    <n v="6"/>
    <x v="1"/>
    <x v="139"/>
    <n v="5"/>
    <x v="1"/>
    <n v="0"/>
    <x v="8"/>
    <x v="0"/>
  </r>
  <r>
    <s v="DBK-CMP-101174"/>
    <s v="DBK-CUS-501174"/>
    <x v="0"/>
    <x v="1"/>
    <x v="195"/>
    <n v="18"/>
    <x v="2"/>
    <x v="0"/>
    <m/>
    <x v="0"/>
    <s v=" "/>
    <x v="3"/>
    <x v="0"/>
  </r>
  <r>
    <s v="DBK-CMP-101175"/>
    <s v="DBK-CUS-501175"/>
    <x v="0"/>
    <x v="4"/>
    <x v="321"/>
    <n v="20"/>
    <x v="1"/>
    <x v="124"/>
    <n v="3"/>
    <x v="1"/>
    <n v="0"/>
    <x v="6"/>
    <x v="0"/>
  </r>
  <r>
    <s v="DBK-CMP-101176"/>
    <s v="DBK-CUS-501176"/>
    <x v="0"/>
    <x v="2"/>
    <x v="207"/>
    <n v="6"/>
    <x v="1"/>
    <x v="251"/>
    <n v="5"/>
    <x v="1"/>
    <n v="0"/>
    <x v="4"/>
    <x v="0"/>
  </r>
  <r>
    <s v="DBK-CMP-101177"/>
    <s v="DBK-CUS-501177"/>
    <x v="3"/>
    <x v="1"/>
    <x v="103"/>
    <n v="32"/>
    <x v="1"/>
    <x v="319"/>
    <n v="2"/>
    <x v="1"/>
    <n v="1"/>
    <x v="5"/>
    <x v="1"/>
  </r>
  <r>
    <s v="DBK-CMP-101178"/>
    <s v="DBK-CUS-501178"/>
    <x v="7"/>
    <x v="2"/>
    <x v="342"/>
    <n v="14"/>
    <x v="0"/>
    <x v="0"/>
    <m/>
    <x v="0"/>
    <s v=" "/>
    <x v="1"/>
    <x v="0"/>
  </r>
  <r>
    <s v="DBK-CMP-101179"/>
    <s v="DBK-CUS-501179"/>
    <x v="6"/>
    <x v="0"/>
    <x v="59"/>
    <n v="7"/>
    <x v="1"/>
    <x v="38"/>
    <n v="4"/>
    <x v="1"/>
    <n v="0"/>
    <x v="11"/>
    <x v="0"/>
  </r>
  <r>
    <s v="DBK-CMP-101180"/>
    <s v="DBK-CUS-501180"/>
    <x v="4"/>
    <x v="2"/>
    <x v="70"/>
    <n v="45"/>
    <x v="0"/>
    <x v="0"/>
    <m/>
    <x v="0"/>
    <s v=" "/>
    <x v="4"/>
    <x v="1"/>
  </r>
  <r>
    <s v="DBK-CMP-101181"/>
    <s v="DBK-CUS-501181"/>
    <x v="7"/>
    <x v="3"/>
    <x v="196"/>
    <n v="12"/>
    <x v="1"/>
    <x v="165"/>
    <n v="4"/>
    <x v="1"/>
    <n v="0"/>
    <x v="9"/>
    <x v="0"/>
  </r>
  <r>
    <s v="DBK-CMP-101182"/>
    <s v="DBK-CUS-501182"/>
    <x v="6"/>
    <x v="3"/>
    <x v="113"/>
    <n v="7"/>
    <x v="1"/>
    <x v="250"/>
    <n v="4"/>
    <x v="1"/>
    <n v="0"/>
    <x v="4"/>
    <x v="0"/>
  </r>
  <r>
    <s v="DBK-CMP-101183"/>
    <s v="DBK-CUS-501183"/>
    <x v="3"/>
    <x v="3"/>
    <x v="283"/>
    <n v="33"/>
    <x v="0"/>
    <x v="0"/>
    <m/>
    <x v="0"/>
    <s v=" "/>
    <x v="10"/>
    <x v="1"/>
  </r>
  <r>
    <s v="DBK-CMP-101184"/>
    <s v="DBK-CUS-501184"/>
    <x v="3"/>
    <x v="4"/>
    <x v="178"/>
    <n v="72"/>
    <x v="1"/>
    <x v="291"/>
    <n v="1"/>
    <x v="1"/>
    <n v="3"/>
    <x v="10"/>
    <x v="1"/>
  </r>
  <r>
    <s v="DBK-CMP-101185"/>
    <s v="DBK-CUS-501185"/>
    <x v="4"/>
    <x v="1"/>
    <x v="263"/>
    <n v="50"/>
    <x v="0"/>
    <x v="0"/>
    <m/>
    <x v="0"/>
    <s v=" "/>
    <x v="7"/>
    <x v="1"/>
  </r>
  <r>
    <s v="DBK-CMP-101186"/>
    <s v="DBK-CUS-501186"/>
    <x v="2"/>
    <x v="0"/>
    <x v="141"/>
    <n v="92"/>
    <x v="1"/>
    <x v="23"/>
    <n v="1"/>
    <x v="1"/>
    <n v="3"/>
    <x v="9"/>
    <x v="2"/>
  </r>
  <r>
    <s v="DBK-CMP-101187"/>
    <s v="DBK-CUS-501187"/>
    <x v="7"/>
    <x v="4"/>
    <x v="291"/>
    <n v="4"/>
    <x v="1"/>
    <x v="279"/>
    <n v="5"/>
    <x v="1"/>
    <n v="0"/>
    <x v="3"/>
    <x v="0"/>
  </r>
  <r>
    <s v="DBK-CMP-101188"/>
    <s v="DBK-CUS-501188"/>
    <x v="6"/>
    <x v="2"/>
    <x v="61"/>
    <n v="22"/>
    <x v="1"/>
    <x v="245"/>
    <n v="5"/>
    <x v="1"/>
    <n v="0"/>
    <x v="2"/>
    <x v="0"/>
  </r>
  <r>
    <s v="DBK-CMP-101189"/>
    <s v="DBK-CUS-501189"/>
    <x v="7"/>
    <x v="1"/>
    <x v="259"/>
    <n v="18"/>
    <x v="1"/>
    <x v="255"/>
    <n v="3"/>
    <x v="1"/>
    <n v="0"/>
    <x v="7"/>
    <x v="0"/>
  </r>
  <r>
    <s v="DBK-CMP-101190"/>
    <s v="DBK-CUS-501190"/>
    <x v="5"/>
    <x v="3"/>
    <x v="16"/>
    <n v="8"/>
    <x v="1"/>
    <x v="10"/>
    <n v="5"/>
    <x v="1"/>
    <n v="0"/>
    <x v="5"/>
    <x v="0"/>
  </r>
  <r>
    <s v="DBK-CMP-101191"/>
    <s v="DBK-CUS-501191"/>
    <x v="2"/>
    <x v="0"/>
    <x v="291"/>
    <n v="50"/>
    <x v="1"/>
    <x v="178"/>
    <n v="1"/>
    <x v="1"/>
    <n v="2"/>
    <x v="3"/>
    <x v="1"/>
  </r>
  <r>
    <s v="DBK-CMP-101192"/>
    <s v="DBK-CUS-501192"/>
    <x v="3"/>
    <x v="3"/>
    <x v="121"/>
    <n v="21"/>
    <x v="1"/>
    <x v="203"/>
    <n v="3"/>
    <x v="1"/>
    <n v="0"/>
    <x v="0"/>
    <x v="0"/>
  </r>
  <r>
    <s v="DBK-CMP-101193"/>
    <s v="DBK-CUS-501193"/>
    <x v="6"/>
    <x v="2"/>
    <x v="195"/>
    <n v="16"/>
    <x v="1"/>
    <x v="21"/>
    <n v="3"/>
    <x v="1"/>
    <n v="0"/>
    <x v="3"/>
    <x v="0"/>
  </r>
  <r>
    <s v="DBK-CMP-101194"/>
    <s v="DBK-CUS-501194"/>
    <x v="1"/>
    <x v="4"/>
    <x v="216"/>
    <n v="18"/>
    <x v="2"/>
    <x v="0"/>
    <m/>
    <x v="0"/>
    <s v=" "/>
    <x v="2"/>
    <x v="0"/>
  </r>
  <r>
    <s v="DBK-CMP-101195"/>
    <s v="DBK-CUS-501195"/>
    <x v="4"/>
    <x v="1"/>
    <x v="95"/>
    <n v="22"/>
    <x v="1"/>
    <x v="67"/>
    <n v="5"/>
    <x v="1"/>
    <n v="0"/>
    <x v="11"/>
    <x v="0"/>
  </r>
  <r>
    <s v="DBK-CMP-101196"/>
    <s v="DBK-CUS-501196"/>
    <x v="6"/>
    <x v="2"/>
    <x v="263"/>
    <n v="3"/>
    <x v="0"/>
    <x v="0"/>
    <m/>
    <x v="0"/>
    <s v=" "/>
    <x v="7"/>
    <x v="0"/>
  </r>
  <r>
    <s v="DBK-CMP-101197"/>
    <s v="DBK-CUS-501197"/>
    <x v="5"/>
    <x v="2"/>
    <x v="176"/>
    <n v="12"/>
    <x v="1"/>
    <x v="246"/>
    <n v="4"/>
    <x v="1"/>
    <n v="0"/>
    <x v="9"/>
    <x v="0"/>
  </r>
  <r>
    <s v="DBK-CMP-101198"/>
    <s v="DBK-CUS-501198"/>
    <x v="6"/>
    <x v="3"/>
    <x v="2"/>
    <n v="17"/>
    <x v="0"/>
    <x v="0"/>
    <m/>
    <x v="0"/>
    <s v=" "/>
    <x v="1"/>
    <x v="0"/>
  </r>
  <r>
    <s v="DBK-CMP-101199"/>
    <s v="DBK-CUS-501199"/>
    <x v="3"/>
    <x v="2"/>
    <x v="119"/>
    <n v="23"/>
    <x v="1"/>
    <x v="68"/>
    <n v="3"/>
    <x v="1"/>
    <n v="0"/>
    <x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1"/>
  </r>
  <r>
    <x v="1"/>
  </r>
  <r>
    <x v="0"/>
  </r>
  <r>
    <x v="0"/>
  </r>
  <r>
    <x v="0"/>
  </r>
  <r>
    <x v="1"/>
  </r>
  <r>
    <x v="1"/>
  </r>
  <r>
    <x v="0"/>
  </r>
  <r>
    <x v="0"/>
  </r>
  <r>
    <x v="0"/>
  </r>
  <r>
    <x v="1"/>
  </r>
  <r>
    <x v="1"/>
  </r>
  <r>
    <x v="1"/>
  </r>
  <r>
    <x v="0"/>
  </r>
  <r>
    <x v="1"/>
  </r>
  <r>
    <x v="1"/>
  </r>
  <r>
    <x v="0"/>
  </r>
  <r>
    <x v="1"/>
  </r>
  <r>
    <x v="1"/>
  </r>
  <r>
    <x v="0"/>
  </r>
  <r>
    <x v="1"/>
  </r>
  <r>
    <x v="0"/>
  </r>
  <r>
    <x v="1"/>
  </r>
  <r>
    <x v="1"/>
  </r>
  <r>
    <x v="1"/>
  </r>
  <r>
    <x v="0"/>
  </r>
  <r>
    <x v="0"/>
  </r>
  <r>
    <x v="1"/>
  </r>
  <r>
    <x v="1"/>
  </r>
  <r>
    <x v="0"/>
  </r>
  <r>
    <x v="1"/>
  </r>
  <r>
    <x v="1"/>
  </r>
  <r>
    <x v="1"/>
  </r>
  <r>
    <x v="0"/>
  </r>
  <r>
    <x v="1"/>
  </r>
  <r>
    <x v="1"/>
  </r>
  <r>
    <x v="0"/>
  </r>
  <r>
    <x v="1"/>
  </r>
  <r>
    <x v="0"/>
  </r>
  <r>
    <x v="1"/>
  </r>
  <r>
    <x v="0"/>
  </r>
  <r>
    <x v="0"/>
  </r>
  <r>
    <x v="1"/>
  </r>
  <r>
    <x v="1"/>
  </r>
  <r>
    <x v="1"/>
  </r>
  <r>
    <x v="1"/>
  </r>
  <r>
    <x v="1"/>
  </r>
  <r>
    <x v="1"/>
  </r>
  <r>
    <x v="0"/>
  </r>
  <r>
    <x v="0"/>
  </r>
  <r>
    <x v="0"/>
  </r>
  <r>
    <x v="1"/>
  </r>
  <r>
    <x v="0"/>
  </r>
  <r>
    <x v="0"/>
  </r>
  <r>
    <x v="1"/>
  </r>
  <r>
    <x v="1"/>
  </r>
  <r>
    <x v="0"/>
  </r>
  <r>
    <x v="1"/>
  </r>
  <r>
    <x v="0"/>
  </r>
  <r>
    <x v="1"/>
  </r>
  <r>
    <x v="1"/>
  </r>
  <r>
    <x v="1"/>
  </r>
  <r>
    <x v="0"/>
  </r>
  <r>
    <x v="1"/>
  </r>
  <r>
    <x v="1"/>
  </r>
  <r>
    <x v="0"/>
  </r>
  <r>
    <x v="1"/>
  </r>
  <r>
    <x v="1"/>
  </r>
  <r>
    <x v="0"/>
  </r>
  <r>
    <x v="0"/>
  </r>
  <r>
    <x v="1"/>
  </r>
  <r>
    <x v="1"/>
  </r>
  <r>
    <x v="1"/>
  </r>
  <r>
    <x v="0"/>
  </r>
  <r>
    <x v="1"/>
  </r>
  <r>
    <x v="1"/>
  </r>
  <r>
    <x v="1"/>
  </r>
  <r>
    <x v="1"/>
  </r>
  <r>
    <x v="0"/>
  </r>
  <r>
    <x v="0"/>
  </r>
  <r>
    <x v="1"/>
  </r>
  <r>
    <x v="1"/>
  </r>
  <r>
    <x v="0"/>
  </r>
  <r>
    <x v="1"/>
  </r>
  <r>
    <x v="0"/>
  </r>
  <r>
    <x v="0"/>
  </r>
  <r>
    <x v="1"/>
  </r>
  <r>
    <x v="0"/>
  </r>
  <r>
    <x v="0"/>
  </r>
  <r>
    <x v="1"/>
  </r>
  <r>
    <x v="1"/>
  </r>
  <r>
    <x v="1"/>
  </r>
  <r>
    <x v="1"/>
  </r>
  <r>
    <x v="0"/>
  </r>
  <r>
    <x v="1"/>
  </r>
  <r>
    <x v="1"/>
  </r>
  <r>
    <x v="0"/>
  </r>
  <r>
    <x v="1"/>
  </r>
  <r>
    <x v="0"/>
  </r>
  <r>
    <x v="1"/>
  </r>
  <r>
    <x v="1"/>
  </r>
  <r>
    <x v="1"/>
  </r>
  <r>
    <x v="1"/>
  </r>
  <r>
    <x v="0"/>
  </r>
  <r>
    <x v="1"/>
  </r>
  <r>
    <x v="1"/>
  </r>
  <r>
    <x v="1"/>
  </r>
  <r>
    <x v="0"/>
  </r>
  <r>
    <x v="1"/>
  </r>
  <r>
    <x v="1"/>
  </r>
  <r>
    <x v="1"/>
  </r>
  <r>
    <x v="1"/>
  </r>
  <r>
    <x v="0"/>
  </r>
  <r>
    <x v="1"/>
  </r>
  <r>
    <x v="1"/>
  </r>
  <r>
    <x v="0"/>
  </r>
  <r>
    <x v="1"/>
  </r>
  <r>
    <x v="0"/>
  </r>
  <r>
    <x v="1"/>
  </r>
  <r>
    <x v="0"/>
  </r>
  <r>
    <x v="1"/>
  </r>
  <r>
    <x v="1"/>
  </r>
  <r>
    <x v="1"/>
  </r>
  <r>
    <x v="1"/>
  </r>
  <r>
    <x v="1"/>
  </r>
  <r>
    <x v="0"/>
  </r>
  <r>
    <x v="1"/>
  </r>
  <r>
    <x v="1"/>
  </r>
  <r>
    <x v="0"/>
  </r>
  <r>
    <x v="1"/>
  </r>
  <r>
    <x v="1"/>
  </r>
  <r>
    <x v="0"/>
  </r>
  <r>
    <x v="1"/>
  </r>
  <r>
    <x v="0"/>
  </r>
  <r>
    <x v="1"/>
  </r>
  <r>
    <x v="1"/>
  </r>
  <r>
    <x v="0"/>
  </r>
  <r>
    <x v="1"/>
  </r>
  <r>
    <x v="0"/>
  </r>
  <r>
    <x v="0"/>
  </r>
  <r>
    <x v="0"/>
  </r>
  <r>
    <x v="1"/>
  </r>
  <r>
    <x v="0"/>
  </r>
  <r>
    <x v="1"/>
  </r>
  <r>
    <x v="1"/>
  </r>
  <r>
    <x v="1"/>
  </r>
  <r>
    <x v="1"/>
  </r>
  <r>
    <x v="1"/>
  </r>
  <r>
    <x v="0"/>
  </r>
  <r>
    <x v="1"/>
  </r>
  <r>
    <x v="1"/>
  </r>
  <r>
    <x v="1"/>
  </r>
  <r>
    <x v="0"/>
  </r>
  <r>
    <x v="0"/>
  </r>
  <r>
    <x v="1"/>
  </r>
  <r>
    <x v="1"/>
  </r>
  <r>
    <x v="0"/>
  </r>
  <r>
    <x v="1"/>
  </r>
  <r>
    <x v="1"/>
  </r>
  <r>
    <x v="1"/>
  </r>
  <r>
    <x v="1"/>
  </r>
  <r>
    <x v="1"/>
  </r>
  <r>
    <x v="1"/>
  </r>
  <r>
    <x v="1"/>
  </r>
  <r>
    <x v="1"/>
  </r>
  <r>
    <x v="1"/>
  </r>
  <r>
    <x v="1"/>
  </r>
  <r>
    <x v="1"/>
  </r>
  <r>
    <x v="1"/>
  </r>
  <r>
    <x v="1"/>
  </r>
  <r>
    <x v="0"/>
  </r>
  <r>
    <x v="1"/>
  </r>
  <r>
    <x v="1"/>
  </r>
  <r>
    <x v="1"/>
  </r>
  <r>
    <x v="0"/>
  </r>
  <r>
    <x v="1"/>
  </r>
  <r>
    <x v="1"/>
  </r>
  <r>
    <x v="1"/>
  </r>
  <r>
    <x v="1"/>
  </r>
  <r>
    <x v="1"/>
  </r>
  <r>
    <x v="1"/>
  </r>
  <r>
    <x v="1"/>
  </r>
  <r>
    <x v="1"/>
  </r>
  <r>
    <x v="0"/>
  </r>
  <r>
    <x v="0"/>
  </r>
  <r>
    <x v="0"/>
  </r>
  <r>
    <x v="1"/>
  </r>
  <r>
    <x v="0"/>
  </r>
  <r>
    <x v="1"/>
  </r>
  <r>
    <x v="1"/>
  </r>
  <r>
    <x v="1"/>
  </r>
  <r>
    <x v="1"/>
  </r>
  <r>
    <x v="0"/>
  </r>
  <r>
    <x v="1"/>
  </r>
  <r>
    <x v="0"/>
  </r>
  <r>
    <x v="0"/>
  </r>
  <r>
    <x v="1"/>
  </r>
  <r>
    <x v="1"/>
  </r>
  <r>
    <x v="1"/>
  </r>
  <r>
    <x v="1"/>
  </r>
  <r>
    <x v="0"/>
  </r>
  <r>
    <x v="0"/>
  </r>
  <r>
    <x v="1"/>
  </r>
  <r>
    <x v="1"/>
  </r>
  <r>
    <x v="0"/>
  </r>
  <r>
    <x v="1"/>
  </r>
  <r>
    <x v="0"/>
  </r>
  <r>
    <x v="0"/>
  </r>
  <r>
    <x v="0"/>
  </r>
  <r>
    <x v="1"/>
  </r>
  <r>
    <x v="0"/>
  </r>
  <r>
    <x v="1"/>
  </r>
  <r>
    <x v="1"/>
  </r>
  <r>
    <x v="1"/>
  </r>
  <r>
    <x v="1"/>
  </r>
  <r>
    <x v="1"/>
  </r>
  <r>
    <x v="1"/>
  </r>
  <r>
    <x v="0"/>
  </r>
  <r>
    <x v="0"/>
  </r>
  <r>
    <x v="1"/>
  </r>
  <r>
    <x v="0"/>
  </r>
  <r>
    <x v="0"/>
  </r>
  <r>
    <x v="1"/>
  </r>
  <r>
    <x v="1"/>
  </r>
  <r>
    <x v="0"/>
  </r>
  <r>
    <x v="0"/>
  </r>
  <r>
    <x v="0"/>
  </r>
  <r>
    <x v="1"/>
  </r>
  <r>
    <x v="0"/>
  </r>
  <r>
    <x v="0"/>
  </r>
  <r>
    <x v="1"/>
  </r>
  <r>
    <x v="1"/>
  </r>
  <r>
    <x v="1"/>
  </r>
  <r>
    <x v="0"/>
  </r>
  <r>
    <x v="1"/>
  </r>
  <r>
    <x v="0"/>
  </r>
  <r>
    <x v="1"/>
  </r>
  <r>
    <x v="1"/>
  </r>
  <r>
    <x v="0"/>
  </r>
  <r>
    <x v="1"/>
  </r>
  <r>
    <x v="0"/>
  </r>
  <r>
    <x v="1"/>
  </r>
  <r>
    <x v="1"/>
  </r>
  <r>
    <x v="1"/>
  </r>
  <r>
    <x v="1"/>
  </r>
  <r>
    <x v="1"/>
  </r>
  <r>
    <x v="1"/>
  </r>
  <r>
    <x v="1"/>
  </r>
  <r>
    <x v="1"/>
  </r>
  <r>
    <x v="1"/>
  </r>
  <r>
    <x v="1"/>
  </r>
  <r>
    <x v="0"/>
  </r>
  <r>
    <x v="0"/>
  </r>
  <r>
    <x v="1"/>
  </r>
  <r>
    <x v="1"/>
  </r>
  <r>
    <x v="1"/>
  </r>
  <r>
    <x v="0"/>
  </r>
  <r>
    <x v="1"/>
  </r>
  <r>
    <x v="1"/>
  </r>
  <r>
    <x v="1"/>
  </r>
  <r>
    <x v="1"/>
  </r>
  <r>
    <x v="0"/>
  </r>
  <r>
    <x v="0"/>
  </r>
  <r>
    <x v="0"/>
  </r>
  <r>
    <x v="1"/>
  </r>
  <r>
    <x v="0"/>
  </r>
  <r>
    <x v="0"/>
  </r>
  <r>
    <x v="1"/>
  </r>
  <r>
    <x v="1"/>
  </r>
  <r>
    <x v="1"/>
  </r>
  <r>
    <x v="1"/>
  </r>
  <r>
    <x v="1"/>
  </r>
  <r>
    <x v="1"/>
  </r>
  <r>
    <x v="1"/>
  </r>
  <r>
    <x v="0"/>
  </r>
  <r>
    <x v="0"/>
  </r>
  <r>
    <x v="1"/>
  </r>
  <r>
    <x v="0"/>
  </r>
  <r>
    <x v="1"/>
  </r>
  <r>
    <x v="1"/>
  </r>
  <r>
    <x v="1"/>
  </r>
  <r>
    <x v="1"/>
  </r>
  <r>
    <x v="1"/>
  </r>
  <r>
    <x v="1"/>
  </r>
  <r>
    <x v="0"/>
  </r>
  <r>
    <x v="1"/>
  </r>
  <r>
    <x v="1"/>
  </r>
  <r>
    <x v="1"/>
  </r>
  <r>
    <x v="1"/>
  </r>
  <r>
    <x v="0"/>
  </r>
  <r>
    <x v="1"/>
  </r>
  <r>
    <x v="1"/>
  </r>
  <r>
    <x v="1"/>
  </r>
  <r>
    <x v="1"/>
  </r>
  <r>
    <x v="1"/>
  </r>
  <r>
    <x v="1"/>
  </r>
  <r>
    <x v="1"/>
  </r>
  <r>
    <x v="1"/>
  </r>
  <r>
    <x v="0"/>
  </r>
  <r>
    <x v="1"/>
  </r>
  <r>
    <x v="1"/>
  </r>
  <r>
    <x v="0"/>
  </r>
  <r>
    <x v="1"/>
  </r>
  <r>
    <x v="1"/>
  </r>
  <r>
    <x v="1"/>
  </r>
  <r>
    <x v="0"/>
  </r>
  <r>
    <x v="1"/>
  </r>
  <r>
    <x v="0"/>
  </r>
  <r>
    <x v="1"/>
  </r>
  <r>
    <x v="0"/>
  </r>
  <r>
    <x v="1"/>
  </r>
  <r>
    <x v="1"/>
  </r>
  <r>
    <x v="1"/>
  </r>
  <r>
    <x v="1"/>
  </r>
  <r>
    <x v="1"/>
  </r>
  <r>
    <x v="1"/>
  </r>
  <r>
    <x v="1"/>
  </r>
  <r>
    <x v="1"/>
  </r>
  <r>
    <x v="0"/>
  </r>
  <r>
    <x v="1"/>
  </r>
  <r>
    <x v="1"/>
  </r>
  <r>
    <x v="1"/>
  </r>
  <r>
    <x v="1"/>
  </r>
  <r>
    <x v="0"/>
  </r>
  <r>
    <x v="1"/>
  </r>
  <r>
    <x v="0"/>
  </r>
  <r>
    <x v="0"/>
  </r>
  <r>
    <x v="1"/>
  </r>
  <r>
    <x v="0"/>
  </r>
  <r>
    <x v="1"/>
  </r>
  <r>
    <x v="0"/>
  </r>
  <r>
    <x v="0"/>
  </r>
  <r>
    <x v="1"/>
  </r>
  <r>
    <x v="0"/>
  </r>
  <r>
    <x v="1"/>
  </r>
  <r>
    <x v="1"/>
  </r>
  <r>
    <x v="1"/>
  </r>
  <r>
    <x v="1"/>
  </r>
  <r>
    <x v="0"/>
  </r>
  <r>
    <x v="1"/>
  </r>
  <r>
    <x v="0"/>
  </r>
  <r>
    <x v="1"/>
  </r>
  <r>
    <x v="1"/>
  </r>
  <r>
    <x v="0"/>
  </r>
  <r>
    <x v="0"/>
  </r>
  <r>
    <x v="1"/>
  </r>
  <r>
    <x v="1"/>
  </r>
  <r>
    <x v="0"/>
  </r>
  <r>
    <x v="1"/>
  </r>
  <r>
    <x v="1"/>
  </r>
  <r>
    <x v="1"/>
  </r>
  <r>
    <x v="1"/>
  </r>
  <r>
    <x v="1"/>
  </r>
  <r>
    <x v="1"/>
  </r>
  <r>
    <x v="1"/>
  </r>
  <r>
    <x v="1"/>
  </r>
  <r>
    <x v="0"/>
  </r>
  <r>
    <x v="1"/>
  </r>
  <r>
    <x v="0"/>
  </r>
  <r>
    <x v="1"/>
  </r>
  <r>
    <x v="1"/>
  </r>
  <r>
    <x v="1"/>
  </r>
  <r>
    <x v="1"/>
  </r>
  <r>
    <x v="1"/>
  </r>
  <r>
    <x v="0"/>
  </r>
  <r>
    <x v="1"/>
  </r>
  <r>
    <x v="1"/>
  </r>
  <r>
    <x v="1"/>
  </r>
  <r>
    <x v="1"/>
  </r>
  <r>
    <x v="1"/>
  </r>
  <r>
    <x v="1"/>
  </r>
  <r>
    <x v="1"/>
  </r>
  <r>
    <x v="0"/>
  </r>
  <r>
    <x v="1"/>
  </r>
  <r>
    <x v="1"/>
  </r>
  <r>
    <x v="1"/>
  </r>
  <r>
    <x v="1"/>
  </r>
  <r>
    <x v="1"/>
  </r>
  <r>
    <x v="0"/>
  </r>
  <r>
    <x v="0"/>
  </r>
  <r>
    <x v="1"/>
  </r>
  <r>
    <x v="1"/>
  </r>
  <r>
    <x v="0"/>
  </r>
  <r>
    <x v="1"/>
  </r>
  <r>
    <x v="0"/>
  </r>
  <r>
    <x v="1"/>
  </r>
  <r>
    <x v="1"/>
  </r>
  <r>
    <x v="1"/>
  </r>
  <r>
    <x v="1"/>
  </r>
  <r>
    <x v="1"/>
  </r>
  <r>
    <x v="0"/>
  </r>
  <r>
    <x v="1"/>
  </r>
  <r>
    <x v="1"/>
  </r>
  <r>
    <x v="1"/>
  </r>
  <r>
    <x v="0"/>
  </r>
  <r>
    <x v="0"/>
  </r>
  <r>
    <x v="1"/>
  </r>
  <r>
    <x v="0"/>
  </r>
  <r>
    <x v="1"/>
  </r>
  <r>
    <x v="1"/>
  </r>
  <r>
    <x v="0"/>
  </r>
  <r>
    <x v="0"/>
  </r>
  <r>
    <x v="1"/>
  </r>
  <r>
    <x v="1"/>
  </r>
  <r>
    <x v="1"/>
  </r>
  <r>
    <x v="1"/>
  </r>
  <r>
    <x v="1"/>
  </r>
  <r>
    <x v="1"/>
  </r>
  <r>
    <x v="1"/>
  </r>
  <r>
    <x v="0"/>
  </r>
  <r>
    <x v="1"/>
  </r>
  <r>
    <x v="1"/>
  </r>
  <r>
    <x v="1"/>
  </r>
  <r>
    <x v="1"/>
  </r>
  <r>
    <x v="1"/>
  </r>
  <r>
    <x v="0"/>
  </r>
  <r>
    <x v="0"/>
  </r>
  <r>
    <x v="0"/>
  </r>
  <r>
    <x v="1"/>
  </r>
  <r>
    <x v="1"/>
  </r>
  <r>
    <x v="1"/>
  </r>
  <r>
    <x v="1"/>
  </r>
  <r>
    <x v="1"/>
  </r>
  <r>
    <x v="1"/>
  </r>
  <r>
    <x v="1"/>
  </r>
  <r>
    <x v="0"/>
  </r>
  <r>
    <x v="1"/>
  </r>
  <r>
    <x v="1"/>
  </r>
  <r>
    <x v="1"/>
  </r>
  <r>
    <x v="0"/>
  </r>
  <r>
    <x v="1"/>
  </r>
  <r>
    <x v="1"/>
  </r>
  <r>
    <x v="0"/>
  </r>
  <r>
    <x v="1"/>
  </r>
  <r>
    <x v="0"/>
  </r>
  <r>
    <x v="1"/>
  </r>
  <r>
    <x v="0"/>
  </r>
  <r>
    <x v="0"/>
  </r>
  <r>
    <x v="0"/>
  </r>
  <r>
    <x v="1"/>
  </r>
  <r>
    <x v="1"/>
  </r>
  <r>
    <x v="0"/>
  </r>
  <r>
    <x v="1"/>
  </r>
  <r>
    <x v="1"/>
  </r>
  <r>
    <x v="1"/>
  </r>
  <r>
    <x v="1"/>
  </r>
  <r>
    <x v="0"/>
  </r>
  <r>
    <x v="1"/>
  </r>
  <r>
    <x v="1"/>
  </r>
  <r>
    <x v="1"/>
  </r>
  <r>
    <x v="1"/>
  </r>
  <r>
    <x v="1"/>
  </r>
  <r>
    <x v="1"/>
  </r>
  <r>
    <x v="0"/>
  </r>
  <r>
    <x v="1"/>
  </r>
  <r>
    <x v="1"/>
  </r>
  <r>
    <x v="0"/>
  </r>
  <r>
    <x v="1"/>
  </r>
  <r>
    <x v="1"/>
  </r>
  <r>
    <x v="1"/>
  </r>
  <r>
    <x v="0"/>
  </r>
  <r>
    <x v="1"/>
  </r>
  <r>
    <x v="0"/>
  </r>
  <r>
    <x v="1"/>
  </r>
  <r>
    <x v="1"/>
  </r>
  <r>
    <x v="0"/>
  </r>
  <r>
    <x v="1"/>
  </r>
  <r>
    <x v="1"/>
  </r>
  <r>
    <x v="0"/>
  </r>
  <r>
    <x v="1"/>
  </r>
  <r>
    <x v="0"/>
  </r>
  <r>
    <x v="1"/>
  </r>
  <r>
    <x v="1"/>
  </r>
  <r>
    <x v="1"/>
  </r>
  <r>
    <x v="0"/>
  </r>
  <r>
    <x v="1"/>
  </r>
  <r>
    <x v="0"/>
  </r>
  <r>
    <x v="1"/>
  </r>
  <r>
    <x v="1"/>
  </r>
  <r>
    <x v="1"/>
  </r>
  <r>
    <x v="1"/>
  </r>
  <r>
    <x v="0"/>
  </r>
  <r>
    <x v="1"/>
  </r>
  <r>
    <x v="0"/>
  </r>
  <r>
    <x v="0"/>
  </r>
  <r>
    <x v="1"/>
  </r>
  <r>
    <x v="0"/>
  </r>
  <r>
    <x v="1"/>
  </r>
  <r>
    <x v="1"/>
  </r>
  <r>
    <x v="0"/>
  </r>
  <r>
    <x v="1"/>
  </r>
  <r>
    <x v="1"/>
  </r>
  <r>
    <x v="1"/>
  </r>
  <r>
    <x v="1"/>
  </r>
  <r>
    <x v="1"/>
  </r>
  <r>
    <x v="1"/>
  </r>
  <r>
    <x v="0"/>
  </r>
  <r>
    <x v="1"/>
  </r>
  <r>
    <x v="0"/>
  </r>
  <r>
    <x v="1"/>
  </r>
  <r>
    <x v="1"/>
  </r>
  <r>
    <x v="1"/>
  </r>
  <r>
    <x v="1"/>
  </r>
  <r>
    <x v="0"/>
  </r>
  <r>
    <x v="0"/>
  </r>
  <r>
    <x v="1"/>
  </r>
  <r>
    <x v="0"/>
  </r>
  <r>
    <x v="1"/>
  </r>
  <r>
    <x v="1"/>
  </r>
  <r>
    <x v="1"/>
  </r>
  <r>
    <x v="1"/>
  </r>
  <r>
    <x v="0"/>
  </r>
  <r>
    <x v="0"/>
  </r>
  <r>
    <x v="1"/>
  </r>
  <r>
    <x v="1"/>
  </r>
  <r>
    <x v="1"/>
  </r>
  <r>
    <x v="1"/>
  </r>
  <r>
    <x v="1"/>
  </r>
  <r>
    <x v="1"/>
  </r>
  <r>
    <x v="0"/>
  </r>
  <r>
    <x v="0"/>
  </r>
  <r>
    <x v="0"/>
  </r>
  <r>
    <x v="1"/>
  </r>
  <r>
    <x v="1"/>
  </r>
  <r>
    <x v="1"/>
  </r>
  <r>
    <x v="1"/>
  </r>
  <r>
    <x v="1"/>
  </r>
  <r>
    <x v="0"/>
  </r>
  <r>
    <x v="1"/>
  </r>
  <r>
    <x v="1"/>
  </r>
  <r>
    <x v="1"/>
  </r>
  <r>
    <x v="0"/>
  </r>
  <r>
    <x v="1"/>
  </r>
  <r>
    <x v="1"/>
  </r>
  <r>
    <x v="1"/>
  </r>
  <r>
    <x v="1"/>
  </r>
  <r>
    <x v="1"/>
  </r>
  <r>
    <x v="1"/>
  </r>
  <r>
    <x v="0"/>
  </r>
  <r>
    <x v="0"/>
  </r>
  <r>
    <x v="0"/>
  </r>
  <r>
    <x v="0"/>
  </r>
  <r>
    <x v="1"/>
  </r>
  <r>
    <x v="0"/>
  </r>
  <r>
    <x v="1"/>
  </r>
  <r>
    <x v="0"/>
  </r>
  <r>
    <x v="1"/>
  </r>
  <r>
    <x v="1"/>
  </r>
  <r>
    <x v="1"/>
  </r>
  <r>
    <x v="1"/>
  </r>
  <r>
    <x v="0"/>
  </r>
  <r>
    <x v="0"/>
  </r>
  <r>
    <x v="1"/>
  </r>
  <r>
    <x v="0"/>
  </r>
  <r>
    <x v="1"/>
  </r>
  <r>
    <x v="1"/>
  </r>
  <r>
    <x v="0"/>
  </r>
  <r>
    <x v="1"/>
  </r>
  <r>
    <x v="0"/>
  </r>
  <r>
    <x v="1"/>
  </r>
  <r>
    <x v="0"/>
  </r>
  <r>
    <x v="1"/>
  </r>
  <r>
    <x v="0"/>
  </r>
  <r>
    <x v="0"/>
  </r>
  <r>
    <x v="1"/>
  </r>
  <r>
    <x v="1"/>
  </r>
  <r>
    <x v="1"/>
  </r>
  <r>
    <x v="0"/>
  </r>
  <r>
    <x v="0"/>
  </r>
  <r>
    <x v="1"/>
  </r>
  <r>
    <x v="1"/>
  </r>
  <r>
    <x v="1"/>
  </r>
  <r>
    <x v="1"/>
  </r>
  <r>
    <x v="1"/>
  </r>
  <r>
    <x v="1"/>
  </r>
  <r>
    <x v="0"/>
  </r>
  <r>
    <x v="0"/>
  </r>
  <r>
    <x v="0"/>
  </r>
  <r>
    <x v="1"/>
  </r>
  <r>
    <x v="1"/>
  </r>
  <r>
    <x v="0"/>
  </r>
  <r>
    <x v="0"/>
  </r>
  <r>
    <x v="1"/>
  </r>
  <r>
    <x v="1"/>
  </r>
  <r>
    <x v="1"/>
  </r>
  <r>
    <x v="1"/>
  </r>
  <r>
    <x v="0"/>
  </r>
  <r>
    <x v="0"/>
  </r>
  <r>
    <x v="1"/>
  </r>
  <r>
    <x v="0"/>
  </r>
  <r>
    <x v="1"/>
  </r>
  <r>
    <x v="0"/>
  </r>
  <r>
    <x v="1"/>
  </r>
  <r>
    <x v="1"/>
  </r>
  <r>
    <x v="0"/>
  </r>
  <r>
    <x v="1"/>
  </r>
  <r>
    <x v="1"/>
  </r>
  <r>
    <x v="1"/>
  </r>
  <r>
    <x v="1"/>
  </r>
  <r>
    <x v="0"/>
  </r>
  <r>
    <x v="1"/>
  </r>
  <r>
    <x v="1"/>
  </r>
  <r>
    <x v="1"/>
  </r>
  <r>
    <x v="1"/>
  </r>
  <r>
    <x v="1"/>
  </r>
  <r>
    <x v="1"/>
  </r>
  <r>
    <x v="1"/>
  </r>
  <r>
    <x v="1"/>
  </r>
  <r>
    <x v="1"/>
  </r>
  <r>
    <x v="1"/>
  </r>
  <r>
    <x v="0"/>
  </r>
  <r>
    <x v="1"/>
  </r>
  <r>
    <x v="0"/>
  </r>
  <r>
    <x v="1"/>
  </r>
  <r>
    <x v="1"/>
  </r>
  <r>
    <x v="0"/>
  </r>
  <r>
    <x v="1"/>
  </r>
  <r>
    <x v="1"/>
  </r>
  <r>
    <x v="0"/>
  </r>
  <r>
    <x v="0"/>
  </r>
  <r>
    <x v="0"/>
  </r>
  <r>
    <x v="1"/>
  </r>
  <r>
    <x v="1"/>
  </r>
  <r>
    <x v="1"/>
  </r>
  <r>
    <x v="0"/>
  </r>
  <r>
    <x v="1"/>
  </r>
  <r>
    <x v="0"/>
  </r>
  <r>
    <x v="0"/>
  </r>
  <r>
    <x v="0"/>
  </r>
  <r>
    <x v="1"/>
  </r>
  <r>
    <x v="1"/>
  </r>
  <r>
    <x v="1"/>
  </r>
  <r>
    <x v="1"/>
  </r>
  <r>
    <x v="1"/>
  </r>
  <r>
    <x v="1"/>
  </r>
  <r>
    <x v="0"/>
  </r>
  <r>
    <x v="0"/>
  </r>
  <r>
    <x v="1"/>
  </r>
  <r>
    <x v="0"/>
  </r>
  <r>
    <x v="1"/>
  </r>
  <r>
    <x v="0"/>
  </r>
  <r>
    <x v="1"/>
  </r>
  <r>
    <x v="1"/>
  </r>
  <r>
    <x v="0"/>
  </r>
  <r>
    <x v="0"/>
  </r>
  <r>
    <x v="0"/>
  </r>
  <r>
    <x v="1"/>
  </r>
  <r>
    <x v="1"/>
  </r>
  <r>
    <x v="1"/>
  </r>
  <r>
    <x v="1"/>
  </r>
  <r>
    <x v="0"/>
  </r>
  <r>
    <x v="0"/>
  </r>
  <r>
    <x v="1"/>
  </r>
  <r>
    <x v="0"/>
  </r>
  <r>
    <x v="0"/>
  </r>
  <r>
    <x v="1"/>
  </r>
  <r>
    <x v="0"/>
  </r>
  <r>
    <x v="0"/>
  </r>
  <r>
    <x v="0"/>
  </r>
  <r>
    <x v="0"/>
  </r>
  <r>
    <x v="1"/>
  </r>
  <r>
    <x v="0"/>
  </r>
  <r>
    <x v="0"/>
  </r>
  <r>
    <x v="0"/>
  </r>
  <r>
    <x v="1"/>
  </r>
  <r>
    <x v="1"/>
  </r>
  <r>
    <x v="1"/>
  </r>
  <r>
    <x v="1"/>
  </r>
  <r>
    <x v="1"/>
  </r>
  <r>
    <x v="1"/>
  </r>
  <r>
    <x v="1"/>
  </r>
  <r>
    <x v="0"/>
  </r>
  <r>
    <x v="1"/>
  </r>
  <r>
    <x v="0"/>
  </r>
  <r>
    <x v="1"/>
  </r>
  <r>
    <x v="0"/>
  </r>
  <r>
    <x v="1"/>
  </r>
  <r>
    <x v="1"/>
  </r>
  <r>
    <x v="1"/>
  </r>
  <r>
    <x v="1"/>
  </r>
  <r>
    <x v="1"/>
  </r>
  <r>
    <x v="0"/>
  </r>
  <r>
    <x v="0"/>
  </r>
  <r>
    <x v="0"/>
  </r>
  <r>
    <x v="1"/>
  </r>
  <r>
    <x v="1"/>
  </r>
  <r>
    <x v="1"/>
  </r>
  <r>
    <x v="1"/>
  </r>
  <r>
    <x v="1"/>
  </r>
  <r>
    <x v="1"/>
  </r>
  <r>
    <x v="1"/>
  </r>
  <r>
    <x v="1"/>
  </r>
  <r>
    <x v="1"/>
  </r>
  <r>
    <x v="1"/>
  </r>
  <r>
    <x v="1"/>
  </r>
  <r>
    <x v="0"/>
  </r>
  <r>
    <x v="1"/>
  </r>
  <r>
    <x v="1"/>
  </r>
  <r>
    <x v="1"/>
  </r>
  <r>
    <x v="1"/>
  </r>
  <r>
    <x v="0"/>
  </r>
  <r>
    <x v="0"/>
  </r>
  <r>
    <x v="1"/>
  </r>
  <r>
    <x v="1"/>
  </r>
  <r>
    <x v="1"/>
  </r>
  <r>
    <x v="1"/>
  </r>
  <r>
    <x v="1"/>
  </r>
  <r>
    <x v="1"/>
  </r>
  <r>
    <x v="0"/>
  </r>
  <r>
    <x v="1"/>
  </r>
  <r>
    <x v="0"/>
  </r>
  <r>
    <x v="1"/>
  </r>
  <r>
    <x v="1"/>
  </r>
  <r>
    <x v="0"/>
  </r>
  <r>
    <x v="1"/>
  </r>
  <r>
    <x v="1"/>
  </r>
  <r>
    <x v="0"/>
  </r>
  <r>
    <x v="1"/>
  </r>
  <r>
    <x v="1"/>
  </r>
  <r>
    <x v="0"/>
  </r>
  <r>
    <x v="0"/>
  </r>
  <r>
    <x v="0"/>
  </r>
  <r>
    <x v="1"/>
  </r>
  <r>
    <x v="0"/>
  </r>
  <r>
    <x v="1"/>
  </r>
  <r>
    <x v="0"/>
  </r>
  <r>
    <x v="1"/>
  </r>
  <r>
    <x v="1"/>
  </r>
  <r>
    <x v="0"/>
  </r>
  <r>
    <x v="1"/>
  </r>
  <r>
    <x v="0"/>
  </r>
  <r>
    <x v="0"/>
  </r>
  <r>
    <x v="1"/>
  </r>
  <r>
    <x v="1"/>
  </r>
  <r>
    <x v="1"/>
  </r>
  <r>
    <x v="1"/>
  </r>
  <r>
    <x v="0"/>
  </r>
  <r>
    <x v="1"/>
  </r>
  <r>
    <x v="0"/>
  </r>
  <r>
    <x v="0"/>
  </r>
  <r>
    <x v="1"/>
  </r>
  <r>
    <x v="0"/>
  </r>
  <r>
    <x v="1"/>
  </r>
  <r>
    <x v="1"/>
  </r>
  <r>
    <x v="0"/>
  </r>
  <r>
    <x v="0"/>
  </r>
  <r>
    <x v="1"/>
  </r>
  <r>
    <x v="1"/>
  </r>
  <r>
    <x v="0"/>
  </r>
  <r>
    <x v="1"/>
  </r>
  <r>
    <x v="1"/>
  </r>
  <r>
    <x v="0"/>
  </r>
  <r>
    <x v="0"/>
  </r>
  <r>
    <x v="1"/>
  </r>
  <r>
    <x v="1"/>
  </r>
  <r>
    <x v="1"/>
  </r>
  <r>
    <x v="1"/>
  </r>
  <r>
    <x v="1"/>
  </r>
  <r>
    <x v="0"/>
  </r>
  <r>
    <x v="1"/>
  </r>
  <r>
    <x v="0"/>
  </r>
  <r>
    <x v="0"/>
  </r>
  <r>
    <x v="1"/>
  </r>
  <r>
    <x v="0"/>
  </r>
  <r>
    <x v="0"/>
  </r>
  <r>
    <x v="1"/>
  </r>
  <r>
    <x v="1"/>
  </r>
  <r>
    <x v="0"/>
  </r>
  <r>
    <x v="0"/>
  </r>
  <r>
    <x v="1"/>
  </r>
  <r>
    <x v="1"/>
  </r>
  <r>
    <x v="1"/>
  </r>
  <r>
    <x v="0"/>
  </r>
  <r>
    <x v="0"/>
  </r>
  <r>
    <x v="1"/>
  </r>
  <r>
    <x v="1"/>
  </r>
  <r>
    <x v="1"/>
  </r>
  <r>
    <x v="1"/>
  </r>
  <r>
    <x v="1"/>
  </r>
  <r>
    <x v="1"/>
  </r>
  <r>
    <x v="1"/>
  </r>
  <r>
    <x v="1"/>
  </r>
  <r>
    <x v="1"/>
  </r>
  <r>
    <x v="1"/>
  </r>
  <r>
    <x v="1"/>
  </r>
  <r>
    <x v="1"/>
  </r>
  <r>
    <x v="1"/>
  </r>
  <r>
    <x v="0"/>
  </r>
  <r>
    <x v="1"/>
  </r>
  <r>
    <x v="1"/>
  </r>
  <r>
    <x v="1"/>
  </r>
  <r>
    <x v="0"/>
  </r>
  <r>
    <x v="0"/>
  </r>
  <r>
    <x v="1"/>
  </r>
  <r>
    <x v="1"/>
  </r>
  <r>
    <x v="0"/>
  </r>
  <r>
    <x v="1"/>
  </r>
  <r>
    <x v="0"/>
  </r>
  <r>
    <x v="0"/>
  </r>
  <r>
    <x v="1"/>
  </r>
  <r>
    <x v="0"/>
  </r>
  <r>
    <x v="0"/>
  </r>
  <r>
    <x v="1"/>
  </r>
  <r>
    <x v="1"/>
  </r>
  <r>
    <x v="1"/>
  </r>
  <r>
    <x v="1"/>
  </r>
  <r>
    <x v="0"/>
  </r>
  <r>
    <x v="1"/>
  </r>
  <r>
    <x v="1"/>
  </r>
  <r>
    <x v="1"/>
  </r>
  <r>
    <x v="0"/>
  </r>
  <r>
    <x v="0"/>
  </r>
  <r>
    <x v="1"/>
  </r>
  <r>
    <x v="0"/>
  </r>
  <r>
    <x v="1"/>
  </r>
  <r>
    <x v="1"/>
  </r>
  <r>
    <x v="1"/>
  </r>
  <r>
    <x v="1"/>
  </r>
  <r>
    <x v="1"/>
  </r>
  <r>
    <x v="1"/>
  </r>
  <r>
    <x v="1"/>
  </r>
  <r>
    <x v="0"/>
  </r>
  <r>
    <x v="1"/>
  </r>
  <r>
    <x v="1"/>
  </r>
  <r>
    <x v="1"/>
  </r>
  <r>
    <x v="1"/>
  </r>
  <r>
    <x v="0"/>
  </r>
  <r>
    <x v="1"/>
  </r>
  <r>
    <x v="1"/>
  </r>
  <r>
    <x v="1"/>
  </r>
  <r>
    <x v="1"/>
  </r>
  <r>
    <x v="1"/>
  </r>
  <r>
    <x v="1"/>
  </r>
  <r>
    <x v="0"/>
  </r>
  <r>
    <x v="1"/>
  </r>
  <r>
    <x v="0"/>
  </r>
  <r>
    <x v="1"/>
  </r>
  <r>
    <x v="0"/>
  </r>
  <r>
    <x v="1"/>
  </r>
  <r>
    <x v="0"/>
  </r>
  <r>
    <x v="0"/>
  </r>
  <r>
    <x v="0"/>
  </r>
  <r>
    <x v="1"/>
  </r>
  <r>
    <x v="1"/>
  </r>
  <r>
    <x v="0"/>
  </r>
  <r>
    <x v="1"/>
  </r>
  <r>
    <x v="1"/>
  </r>
  <r>
    <x v="1"/>
  </r>
  <r>
    <x v="1"/>
  </r>
  <r>
    <x v="1"/>
  </r>
  <r>
    <x v="1"/>
  </r>
  <r>
    <x v="0"/>
  </r>
  <r>
    <x v="1"/>
  </r>
  <r>
    <x v="0"/>
  </r>
  <r>
    <x v="1"/>
  </r>
  <r>
    <x v="0"/>
  </r>
  <r>
    <x v="1"/>
  </r>
  <r>
    <x v="0"/>
  </r>
  <r>
    <x v="1"/>
  </r>
  <r>
    <x v="0"/>
  </r>
  <r>
    <x v="1"/>
  </r>
  <r>
    <x v="1"/>
  </r>
  <r>
    <x v="1"/>
  </r>
  <r>
    <x v="1"/>
  </r>
  <r>
    <x v="0"/>
  </r>
  <r>
    <x v="0"/>
  </r>
  <r>
    <x v="1"/>
  </r>
  <r>
    <x v="1"/>
  </r>
  <r>
    <x v="1"/>
  </r>
  <r>
    <x v="1"/>
  </r>
  <r>
    <x v="1"/>
  </r>
  <r>
    <x v="1"/>
  </r>
  <r>
    <x v="0"/>
  </r>
  <r>
    <x v="1"/>
  </r>
  <r>
    <x v="1"/>
  </r>
  <r>
    <x v="0"/>
  </r>
  <r>
    <x v="1"/>
  </r>
  <r>
    <x v="0"/>
  </r>
  <r>
    <x v="0"/>
  </r>
  <r>
    <x v="1"/>
  </r>
  <r>
    <x v="0"/>
  </r>
  <r>
    <x v="0"/>
  </r>
  <r>
    <x v="0"/>
  </r>
  <r>
    <x v="1"/>
  </r>
  <r>
    <x v="1"/>
  </r>
  <r>
    <x v="1"/>
  </r>
  <r>
    <x v="1"/>
  </r>
  <r>
    <x v="1"/>
  </r>
  <r>
    <x v="1"/>
  </r>
  <r>
    <x v="1"/>
  </r>
  <r>
    <x v="1"/>
  </r>
  <r>
    <x v="0"/>
  </r>
  <r>
    <x v="1"/>
  </r>
  <r>
    <x v="1"/>
  </r>
  <r>
    <x v="1"/>
  </r>
  <r>
    <x v="1"/>
  </r>
  <r>
    <x v="0"/>
  </r>
  <r>
    <x v="1"/>
  </r>
  <r>
    <x v="1"/>
  </r>
  <r>
    <x v="0"/>
  </r>
  <r>
    <x v="0"/>
  </r>
  <r>
    <x v="1"/>
  </r>
  <r>
    <x v="0"/>
  </r>
  <r>
    <x v="0"/>
  </r>
  <r>
    <x v="1"/>
  </r>
  <r>
    <x v="0"/>
  </r>
  <r>
    <x v="0"/>
  </r>
  <r>
    <x v="1"/>
  </r>
  <r>
    <x v="0"/>
  </r>
  <r>
    <x v="1"/>
  </r>
  <r>
    <x v="1"/>
  </r>
  <r>
    <x v="0"/>
  </r>
  <r>
    <x v="1"/>
  </r>
  <r>
    <x v="1"/>
  </r>
  <r>
    <x v="1"/>
  </r>
  <r>
    <x v="1"/>
  </r>
  <r>
    <x v="1"/>
  </r>
  <r>
    <x v="1"/>
  </r>
  <r>
    <x v="0"/>
  </r>
  <r>
    <x v="0"/>
  </r>
  <r>
    <x v="0"/>
  </r>
  <r>
    <x v="0"/>
  </r>
  <r>
    <x v="0"/>
  </r>
  <r>
    <x v="0"/>
  </r>
  <r>
    <x v="1"/>
  </r>
  <r>
    <x v="0"/>
  </r>
  <r>
    <x v="0"/>
  </r>
  <r>
    <x v="0"/>
  </r>
  <r>
    <x v="0"/>
  </r>
  <r>
    <x v="1"/>
  </r>
  <r>
    <x v="1"/>
  </r>
  <r>
    <x v="1"/>
  </r>
  <r>
    <x v="1"/>
  </r>
  <r>
    <x v="0"/>
  </r>
  <r>
    <x v="1"/>
  </r>
  <r>
    <x v="1"/>
  </r>
  <r>
    <x v="1"/>
  </r>
  <r>
    <x v="1"/>
  </r>
  <r>
    <x v="1"/>
  </r>
  <r>
    <x v="1"/>
  </r>
  <r>
    <x v="1"/>
  </r>
  <r>
    <x v="0"/>
  </r>
  <r>
    <x v="1"/>
  </r>
  <r>
    <x v="1"/>
  </r>
  <r>
    <x v="1"/>
  </r>
  <r>
    <x v="1"/>
  </r>
  <r>
    <x v="0"/>
  </r>
  <r>
    <x v="1"/>
  </r>
  <r>
    <x v="0"/>
  </r>
  <r>
    <x v="0"/>
  </r>
  <r>
    <x v="0"/>
  </r>
  <r>
    <x v="1"/>
  </r>
  <r>
    <x v="1"/>
  </r>
  <r>
    <x v="1"/>
  </r>
  <r>
    <x v="1"/>
  </r>
  <r>
    <x v="1"/>
  </r>
  <r>
    <x v="1"/>
  </r>
  <r>
    <x v="0"/>
  </r>
  <r>
    <x v="1"/>
  </r>
  <r>
    <x v="1"/>
  </r>
  <r>
    <x v="1"/>
  </r>
  <r>
    <x v="1"/>
  </r>
  <r>
    <x v="1"/>
  </r>
  <r>
    <x v="0"/>
  </r>
  <r>
    <x v="1"/>
  </r>
  <r>
    <x v="0"/>
  </r>
  <r>
    <x v="1"/>
  </r>
  <r>
    <x v="0"/>
  </r>
  <r>
    <x v="1"/>
  </r>
  <r>
    <x v="1"/>
  </r>
  <r>
    <x v="1"/>
  </r>
  <r>
    <x v="1"/>
  </r>
  <r>
    <x v="0"/>
  </r>
  <r>
    <x v="0"/>
  </r>
  <r>
    <x v="1"/>
  </r>
  <r>
    <x v="1"/>
  </r>
  <r>
    <x v="1"/>
  </r>
  <r>
    <x v="1"/>
  </r>
  <r>
    <x v="1"/>
  </r>
  <r>
    <x v="1"/>
  </r>
  <r>
    <x v="1"/>
  </r>
  <r>
    <x v="1"/>
  </r>
  <r>
    <x v="1"/>
  </r>
  <r>
    <x v="0"/>
  </r>
  <r>
    <x v="0"/>
  </r>
  <r>
    <x v="0"/>
  </r>
  <r>
    <x v="1"/>
  </r>
  <r>
    <x v="1"/>
  </r>
  <r>
    <x v="1"/>
  </r>
  <r>
    <x v="0"/>
  </r>
  <r>
    <x v="1"/>
  </r>
  <r>
    <x v="0"/>
  </r>
  <r>
    <x v="0"/>
  </r>
  <r>
    <x v="0"/>
  </r>
  <r>
    <x v="1"/>
  </r>
  <r>
    <x v="0"/>
  </r>
  <r>
    <x v="0"/>
  </r>
  <r>
    <x v="0"/>
  </r>
  <r>
    <x v="0"/>
  </r>
  <r>
    <x v="1"/>
  </r>
  <r>
    <x v="0"/>
  </r>
  <r>
    <x v="1"/>
  </r>
  <r>
    <x v="1"/>
  </r>
  <r>
    <x v="1"/>
  </r>
  <r>
    <x v="1"/>
  </r>
  <r>
    <x v="1"/>
  </r>
  <r>
    <x v="1"/>
  </r>
  <r>
    <x v="0"/>
  </r>
  <r>
    <x v="0"/>
  </r>
  <r>
    <x v="0"/>
  </r>
  <r>
    <x v="0"/>
  </r>
  <r>
    <x v="1"/>
  </r>
  <r>
    <x v="0"/>
  </r>
  <r>
    <x v="1"/>
  </r>
  <r>
    <x v="1"/>
  </r>
  <r>
    <x v="1"/>
  </r>
  <r>
    <x v="0"/>
  </r>
  <r>
    <x v="1"/>
  </r>
  <r>
    <x v="1"/>
  </r>
  <r>
    <x v="1"/>
  </r>
  <r>
    <x v="1"/>
  </r>
  <r>
    <x v="0"/>
  </r>
  <r>
    <x v="0"/>
  </r>
  <r>
    <x v="1"/>
  </r>
  <r>
    <x v="0"/>
  </r>
  <r>
    <x v="1"/>
  </r>
  <r>
    <x v="0"/>
  </r>
  <r>
    <x v="0"/>
  </r>
  <r>
    <x v="0"/>
  </r>
  <r>
    <x v="1"/>
  </r>
  <r>
    <x v="0"/>
  </r>
  <r>
    <x v="0"/>
  </r>
  <r>
    <x v="0"/>
  </r>
  <r>
    <x v="1"/>
  </r>
  <r>
    <x v="0"/>
  </r>
  <r>
    <x v="1"/>
  </r>
  <r>
    <x v="1"/>
  </r>
  <r>
    <x v="1"/>
  </r>
  <r>
    <x v="1"/>
  </r>
  <r>
    <x v="0"/>
  </r>
  <r>
    <x v="1"/>
  </r>
  <r>
    <x v="1"/>
  </r>
  <r>
    <x v="1"/>
  </r>
  <r>
    <x v="0"/>
  </r>
  <r>
    <x v="1"/>
  </r>
  <r>
    <x v="1"/>
  </r>
  <r>
    <x v="1"/>
  </r>
  <r>
    <x v="1"/>
  </r>
  <r>
    <x v="0"/>
  </r>
  <r>
    <x v="1"/>
  </r>
  <r>
    <x v="0"/>
  </r>
  <r>
    <x v="0"/>
  </r>
  <r>
    <x v="1"/>
  </r>
  <r>
    <x v="0"/>
  </r>
  <r>
    <x v="1"/>
  </r>
  <r>
    <x v="1"/>
  </r>
  <r>
    <x v="1"/>
  </r>
  <r>
    <x v="1"/>
  </r>
  <r>
    <x v="1"/>
  </r>
  <r>
    <x v="1"/>
  </r>
  <r>
    <x v="1"/>
  </r>
  <r>
    <x v="1"/>
  </r>
  <r>
    <x v="1"/>
  </r>
  <r>
    <x v="1"/>
  </r>
  <r>
    <x v="1"/>
  </r>
  <r>
    <x v="0"/>
  </r>
  <r>
    <x v="1"/>
  </r>
  <r>
    <x v="1"/>
  </r>
  <r>
    <x v="1"/>
  </r>
  <r>
    <x v="0"/>
  </r>
  <r>
    <x v="0"/>
  </r>
  <r>
    <x v="1"/>
  </r>
  <r>
    <x v="0"/>
  </r>
  <r>
    <x v="1"/>
  </r>
  <r>
    <x v="1"/>
  </r>
  <r>
    <x v="0"/>
  </r>
  <r>
    <x v="0"/>
  </r>
  <r>
    <x v="0"/>
  </r>
  <r>
    <x v="0"/>
  </r>
  <r>
    <x v="1"/>
  </r>
  <r>
    <x v="1"/>
  </r>
  <r>
    <x v="0"/>
  </r>
  <r>
    <x v="1"/>
  </r>
  <r>
    <x v="1"/>
  </r>
  <r>
    <x v="1"/>
  </r>
  <r>
    <x v="1"/>
  </r>
  <r>
    <x v="0"/>
  </r>
  <r>
    <x v="0"/>
  </r>
  <r>
    <x v="0"/>
  </r>
  <r>
    <x v="1"/>
  </r>
  <r>
    <x v="0"/>
  </r>
  <r>
    <x v="1"/>
  </r>
  <r>
    <x v="1"/>
  </r>
  <r>
    <x v="1"/>
  </r>
  <r>
    <x v="0"/>
  </r>
  <r>
    <x v="0"/>
  </r>
  <r>
    <x v="1"/>
  </r>
  <r>
    <x v="1"/>
  </r>
  <r>
    <x v="0"/>
  </r>
  <r>
    <x v="1"/>
  </r>
  <r>
    <x v="1"/>
  </r>
  <r>
    <x v="1"/>
  </r>
  <r>
    <x v="0"/>
  </r>
  <r>
    <x v="0"/>
  </r>
  <r>
    <x v="1"/>
  </r>
  <r>
    <x v="1"/>
  </r>
  <r>
    <x v="0"/>
  </r>
  <r>
    <x v="1"/>
  </r>
  <r>
    <x v="1"/>
  </r>
  <r>
    <x v="1"/>
  </r>
  <r>
    <x v="0"/>
  </r>
  <r>
    <x v="0"/>
  </r>
  <r>
    <x v="0"/>
  </r>
  <r>
    <x v="1"/>
  </r>
  <r>
    <x v="1"/>
  </r>
  <r>
    <x v="1"/>
  </r>
  <r>
    <x v="1"/>
  </r>
  <r>
    <x v="1"/>
  </r>
  <r>
    <x v="0"/>
  </r>
  <r>
    <x v="1"/>
  </r>
  <r>
    <x v="1"/>
  </r>
  <r>
    <x v="0"/>
  </r>
  <r>
    <x v="0"/>
  </r>
  <r>
    <x v="1"/>
  </r>
  <r>
    <x v="1"/>
  </r>
  <r>
    <x v="1"/>
  </r>
  <r>
    <x v="1"/>
  </r>
  <r>
    <x v="0"/>
  </r>
  <r>
    <x v="0"/>
  </r>
  <r>
    <x v="1"/>
  </r>
  <r>
    <x v="1"/>
  </r>
  <r>
    <x v="1"/>
  </r>
  <r>
    <x v="0"/>
  </r>
  <r>
    <x v="1"/>
  </r>
  <r>
    <x v="1"/>
  </r>
  <r>
    <x v="1"/>
  </r>
  <r>
    <x v="1"/>
  </r>
  <r>
    <x v="0"/>
  </r>
  <r>
    <x v="1"/>
  </r>
  <r>
    <x v="1"/>
  </r>
  <r>
    <x v="0"/>
  </r>
  <r>
    <x v="1"/>
  </r>
  <r>
    <x v="0"/>
  </r>
  <r>
    <x v="1"/>
  </r>
  <r>
    <x v="0"/>
  </r>
  <r>
    <x v="1"/>
  </r>
  <r>
    <x v="1"/>
  </r>
  <r>
    <x v="1"/>
  </r>
  <r>
    <x v="1"/>
  </r>
  <r>
    <x v="1"/>
  </r>
  <r>
    <x v="1"/>
  </r>
  <r>
    <x v="0"/>
  </r>
  <r>
    <x v="1"/>
  </r>
  <r>
    <x v="1"/>
  </r>
  <r>
    <x v="1"/>
  </r>
  <r>
    <x v="1"/>
  </r>
  <r>
    <x v="0"/>
  </r>
  <r>
    <x v="0"/>
  </r>
  <r>
    <x v="0"/>
  </r>
  <r>
    <x v="1"/>
  </r>
  <r>
    <x v="0"/>
  </r>
  <r>
    <x v="1"/>
  </r>
  <r>
    <x v="1"/>
  </r>
  <r>
    <x v="0"/>
  </r>
  <r>
    <x v="0"/>
  </r>
  <r>
    <x v="1"/>
  </r>
  <r>
    <x v="1"/>
  </r>
  <r>
    <x v="1"/>
  </r>
  <r>
    <x v="0"/>
  </r>
  <r>
    <x v="0"/>
  </r>
  <r>
    <x v="1"/>
  </r>
  <r>
    <x v="1"/>
  </r>
  <r>
    <x v="0"/>
  </r>
  <r>
    <x v="1"/>
  </r>
  <r>
    <x v="1"/>
  </r>
  <r>
    <x v="1"/>
  </r>
  <r>
    <x v="0"/>
  </r>
  <r>
    <x v="1"/>
  </r>
  <r>
    <x v="0"/>
  </r>
  <r>
    <x v="1"/>
  </r>
  <r>
    <x v="1"/>
  </r>
  <r>
    <x v="0"/>
  </r>
  <r>
    <x v="1"/>
  </r>
  <r>
    <x v="0"/>
  </r>
  <r>
    <x v="1"/>
  </r>
  <r>
    <x v="1"/>
  </r>
  <r>
    <x v="1"/>
  </r>
  <r>
    <x v="1"/>
  </r>
  <r>
    <x v="1"/>
  </r>
  <r>
    <x v="1"/>
  </r>
  <r>
    <x v="1"/>
  </r>
  <r>
    <x v="1"/>
  </r>
  <r>
    <x v="0"/>
  </r>
  <r>
    <x v="1"/>
  </r>
  <r>
    <x v="0"/>
  </r>
  <r>
    <x v="1"/>
  </r>
  <r>
    <x v="0"/>
  </r>
  <r>
    <x v="1"/>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D198F-4CCC-456B-BFDF-348EF361970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1:H14" firstHeaderRow="1" firstDataRow="1" firstDataCol="1"/>
  <pivotFields count="1">
    <pivotField axis="axisRow" dataField="1" showAll="0">
      <items count="4">
        <item x="1"/>
        <item x="0"/>
        <item h="1" x="2"/>
        <item t="default"/>
      </items>
    </pivotField>
  </pivotFields>
  <rowFields count="1">
    <field x="0"/>
  </rowFields>
  <rowItems count="3">
    <i>
      <x/>
    </i>
    <i>
      <x v="1"/>
    </i>
    <i t="grand">
      <x/>
    </i>
  </rowItems>
  <colItems count="1">
    <i/>
  </colItems>
  <dataFields count="1">
    <dataField name="Count of Is_Resolve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28EC6-0C19-473A-B16A-2347E363F2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0:E23" firstHeaderRow="1" firstDataRow="1" firstDataCol="1"/>
  <pivotFields count="13">
    <pivotField dataField="1"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showAll="0"/>
    <pivotField showAll="0"/>
    <pivotField showAll="0"/>
    <pivotField showAll="0"/>
    <pivotField showAll="0"/>
    <pivotField showAll="0"/>
    <pivotField axis="axisRow" showAll="0">
      <items count="13">
        <item x="8"/>
        <item x="10"/>
        <item x="3"/>
        <item x="11"/>
        <item x="2"/>
        <item x="5"/>
        <item x="7"/>
        <item x="9"/>
        <item x="1"/>
        <item x="0"/>
        <item x="6"/>
        <item x="4"/>
        <item t="default"/>
      </items>
    </pivotField>
    <pivotField showAll="0">
      <items count="4">
        <item x="0"/>
        <item x="1"/>
        <item x="2"/>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Count of Complaint_ID" fld="0" subtotal="count" baseField="0" baseItem="0"/>
  </dataFields>
  <formats count="4">
    <format dxfId="14">
      <pivotArea outline="0" collapsedLevelsAreSubtotals="1" fieldPosition="0"/>
    </format>
    <format dxfId="13">
      <pivotArea collapsedLevelsAreSubtotals="1" fieldPosition="0">
        <references count="1">
          <reference field="11" count="0"/>
        </references>
      </pivotArea>
    </format>
    <format dxfId="12">
      <pivotArea grandRow="1" outline="0" collapsedLevelsAreSubtotals="1" fieldPosition="0"/>
    </format>
    <format dxfId="11">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A2E7A-AF93-4FC9-9113-21C6D9F8B24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7:H26" firstHeaderRow="1" firstDataRow="1" firstDataCol="1"/>
  <pivotFields count="13">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showAll="0"/>
    <pivotField dataField="1" showAll="0"/>
    <pivotField showAll="0"/>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2"/>
  </rowFields>
  <rowItems count="9">
    <i>
      <x/>
    </i>
    <i>
      <x v="1"/>
    </i>
    <i>
      <x v="2"/>
    </i>
    <i>
      <x v="3"/>
    </i>
    <i>
      <x v="4"/>
    </i>
    <i>
      <x v="5"/>
    </i>
    <i>
      <x v="6"/>
    </i>
    <i>
      <x v="7"/>
    </i>
    <i t="grand">
      <x/>
    </i>
  </rowItems>
  <colItems count="1">
    <i/>
  </colItems>
  <dataFields count="1">
    <dataField name="Average of Resolution_Time_Hours" fld="5" subtotal="average" baseField="2" baseItem="0"/>
  </dataFields>
  <formats count="2">
    <format dxfId="16">
      <pivotArea collapsedLevelsAreSubtotals="1" fieldPosition="0">
        <references count="1">
          <reference field="2" count="0"/>
        </references>
      </pivotArea>
    </format>
    <format dxfId="15">
      <pivotArea grandRow="1" outline="0" collapsedLevelsAreSubtotals="1" fieldPosition="0"/>
    </format>
  </formats>
  <chartFormats count="10">
    <chartFormat chart="2" format="2" series="1">
      <pivotArea type="data" outline="0" fieldPosition="0">
        <references count="1">
          <reference field="4294967294" count="1" selected="0">
            <x v="0"/>
          </reference>
        </references>
      </pivotArea>
    </chartFormat>
    <chartFormat chart="15" format="40" series="1">
      <pivotArea type="data" outline="0" fieldPosition="0">
        <references count="1">
          <reference field="4294967294" count="1" selected="0">
            <x v="0"/>
          </reference>
        </references>
      </pivotArea>
    </chartFormat>
    <chartFormat chart="15" format="41">
      <pivotArea type="data" outline="0" fieldPosition="0">
        <references count="2">
          <reference field="4294967294" count="1" selected="0">
            <x v="0"/>
          </reference>
          <reference field="2" count="1" selected="0">
            <x v="0"/>
          </reference>
        </references>
      </pivotArea>
    </chartFormat>
    <chartFormat chart="15" format="42">
      <pivotArea type="data" outline="0" fieldPosition="0">
        <references count="2">
          <reference field="4294967294" count="1" selected="0">
            <x v="0"/>
          </reference>
          <reference field="2" count="1" selected="0">
            <x v="1"/>
          </reference>
        </references>
      </pivotArea>
    </chartFormat>
    <chartFormat chart="15" format="43">
      <pivotArea type="data" outline="0" fieldPosition="0">
        <references count="2">
          <reference field="4294967294" count="1" selected="0">
            <x v="0"/>
          </reference>
          <reference field="2" count="1" selected="0">
            <x v="2"/>
          </reference>
        </references>
      </pivotArea>
    </chartFormat>
    <chartFormat chart="15" format="44">
      <pivotArea type="data" outline="0" fieldPosition="0">
        <references count="2">
          <reference field="4294967294" count="1" selected="0">
            <x v="0"/>
          </reference>
          <reference field="2" count="1" selected="0">
            <x v="3"/>
          </reference>
        </references>
      </pivotArea>
    </chartFormat>
    <chartFormat chart="15" format="45">
      <pivotArea type="data" outline="0" fieldPosition="0">
        <references count="2">
          <reference field="4294967294" count="1" selected="0">
            <x v="0"/>
          </reference>
          <reference field="2" count="1" selected="0">
            <x v="4"/>
          </reference>
        </references>
      </pivotArea>
    </chartFormat>
    <chartFormat chart="15" format="46">
      <pivotArea type="data" outline="0" fieldPosition="0">
        <references count="2">
          <reference field="4294967294" count="1" selected="0">
            <x v="0"/>
          </reference>
          <reference field="2" count="1" selected="0">
            <x v="5"/>
          </reference>
        </references>
      </pivotArea>
    </chartFormat>
    <chartFormat chart="15" format="47">
      <pivotArea type="data" outline="0" fieldPosition="0">
        <references count="2">
          <reference field="4294967294" count="1" selected="0">
            <x v="0"/>
          </reference>
          <reference field="2" count="1" selected="0">
            <x v="6"/>
          </reference>
        </references>
      </pivotArea>
    </chartFormat>
    <chartFormat chart="15" format="4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BA589-5A2D-443E-B8AD-6A5602F9403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3">
    <pivotField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dataField="1" showAll="0"/>
    <pivotField showAll="0"/>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Items count="1">
    <i/>
  </rowItems>
  <colItems count="1">
    <i/>
  </colItems>
  <dataFields count="1">
    <dataField name="Average of Resolution_Time_Hours" fld="5" subtotal="average"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30E6AB-C784-4509-97DC-B231405F21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5:J11" firstHeaderRow="1" firstDataRow="1" firstDataCol="1"/>
  <pivotFields count="13">
    <pivotField showAll="0"/>
    <pivotField showAll="0"/>
    <pivotField showAll="0">
      <items count="9">
        <item x="7"/>
        <item x="0"/>
        <item x="6"/>
        <item x="2"/>
        <item x="1"/>
        <item x="4"/>
        <item x="3"/>
        <item x="5"/>
        <item t="default"/>
      </items>
    </pivotField>
    <pivotField axis="axisRow" showAll="0">
      <items count="6">
        <item x="1"/>
        <item x="2"/>
        <item x="0"/>
        <item x="4"/>
        <item x="3"/>
        <item t="default"/>
      </items>
    </pivotField>
    <pivotField showAll="0"/>
    <pivotField showAll="0"/>
    <pivotField showAll="0"/>
    <pivotField showAll="0"/>
    <pivotField dataField="1" showAll="0"/>
    <pivotField showAll="0">
      <items count="3">
        <item x="0"/>
        <item x="1"/>
        <item t="default"/>
      </items>
    </pivotField>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3"/>
  </rowFields>
  <rowItems count="6">
    <i>
      <x/>
    </i>
    <i>
      <x v="1"/>
    </i>
    <i>
      <x v="2"/>
    </i>
    <i>
      <x v="3"/>
    </i>
    <i>
      <x v="4"/>
    </i>
    <i t="grand">
      <x/>
    </i>
  </rowItems>
  <colItems count="1">
    <i/>
  </colItems>
  <dataFields count="1">
    <dataField name="Average of Customer_Rating" fld="8" subtotal="average" baseField="3" baseItem="0"/>
  </dataFields>
  <formats count="2">
    <format dxfId="19">
      <pivotArea grandRow="1" outline="0" collapsedLevelsAreSubtotals="1" fieldPosition="0"/>
    </format>
    <format dxfId="18">
      <pivotArea collapsedLevelsAreSubtotals="1" fieldPosition="0">
        <references count="1">
          <reference field="3"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2E35A-0CCC-4275-973E-E5B792A0364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0:E40" firstHeaderRow="1" firstDataRow="2" firstDataCol="1"/>
  <pivotFields count="13">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Col" dataField="1" showAll="0">
      <items count="4">
        <item x="0"/>
        <item x="2"/>
        <item x="1"/>
        <item t="default"/>
      </items>
    </pivotField>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2"/>
  </rowFields>
  <rowItems count="9">
    <i>
      <x/>
    </i>
    <i>
      <x v="1"/>
    </i>
    <i>
      <x v="2"/>
    </i>
    <i>
      <x v="3"/>
    </i>
    <i>
      <x v="4"/>
    </i>
    <i>
      <x v="5"/>
    </i>
    <i>
      <x v="6"/>
    </i>
    <i>
      <x v="7"/>
    </i>
    <i t="grand">
      <x/>
    </i>
  </rowItems>
  <colFields count="1">
    <field x="6"/>
  </colFields>
  <colItems count="4">
    <i>
      <x/>
    </i>
    <i>
      <x v="1"/>
    </i>
    <i>
      <x v="2"/>
    </i>
    <i t="grand">
      <x/>
    </i>
  </colItems>
  <dataFields count="1">
    <dataField name="Count of Resolution_Status" fld="6" subtotal="count" baseField="0" baseItem="0"/>
  </dataFields>
  <chartFormats count="7">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6" count="1" selected="0">
            <x v="1"/>
          </reference>
        </references>
      </pivotArea>
    </chartFormat>
    <chartFormat chart="2" format="7" series="1">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18" format="20" series="1">
      <pivotArea type="data" outline="0" fieldPosition="0">
        <references count="2">
          <reference field="4294967294" count="1" selected="0">
            <x v="0"/>
          </reference>
          <reference field="6" count="1" selected="0">
            <x v="0"/>
          </reference>
        </references>
      </pivotArea>
    </chartFormat>
    <chartFormat chart="18" format="21" series="1">
      <pivotArea type="data" outline="0" fieldPosition="0">
        <references count="2">
          <reference field="4294967294" count="1" selected="0">
            <x v="0"/>
          </reference>
          <reference field="6" count="1" selected="0">
            <x v="1"/>
          </reference>
        </references>
      </pivotArea>
    </chartFormat>
    <chartFormat chart="18" format="2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9DEBB4-1EC2-48AB-A471-68C2285000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3">
    <pivotField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showAll="0"/>
    <pivotField showAll="0"/>
    <pivotField showAll="0"/>
    <pivotField dataField="1"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Items count="1">
    <i/>
  </rowItems>
  <colItems count="1">
    <i/>
  </colItems>
  <dataFields count="1">
    <dataField name="Average of Customer_Rating" fld="8" subtotal="average" baseField="0" baseItem="0" numFmtId="2"/>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BDE685-25DB-4BA8-A9E4-D2B730B374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13">
    <pivotField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showAll="0"/>
    <pivotField showAll="0"/>
    <pivotField showAll="0"/>
    <pivotField showAll="0"/>
    <pivotField axis="axisRow" dataField="1" showAll="0">
      <items count="3">
        <item x="0"/>
        <item x="1"/>
        <item t="default"/>
      </items>
    </pivotField>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9"/>
  </rowFields>
  <rowItems count="3">
    <i>
      <x/>
    </i>
    <i>
      <x v="1"/>
    </i>
    <i t="grand">
      <x/>
    </i>
  </rowItems>
  <colItems count="1">
    <i/>
  </colItems>
  <dataFields count="1">
    <dataField name="Count of Is_Resolved" fld="9" subtotal="count"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EDD910-6FC2-407E-B400-F239C3F73D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B27" firstHeaderRow="1" firstDataRow="1" firstDataCol="1"/>
  <pivotFields count="13">
    <pivotField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showAll="0"/>
    <pivotField axis="axisRow" dataField="1" showAll="0">
      <items count="4">
        <item x="0"/>
        <item x="2"/>
        <item x="1"/>
        <item t="default"/>
      </items>
    </pivotField>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6"/>
  </rowFields>
  <rowItems count="4">
    <i>
      <x/>
    </i>
    <i>
      <x v="1"/>
    </i>
    <i>
      <x v="2"/>
    </i>
    <i t="grand">
      <x/>
    </i>
  </rowItems>
  <colItems count="1">
    <i/>
  </colItems>
  <dataFields count="1">
    <dataField name="Count of Resolution_Status" fld="6" subtotal="count" baseField="0" baseItem="0"/>
  </dataFields>
  <chartFormats count="4">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6" count="1" selected="0">
            <x v="0"/>
          </reference>
        </references>
      </pivotArea>
    </chartFormat>
    <chartFormat chart="10" format="23">
      <pivotArea type="data" outline="0" fieldPosition="0">
        <references count="2">
          <reference field="4294967294" count="1" selected="0">
            <x v="0"/>
          </reference>
          <reference field="6" count="1" selected="0">
            <x v="1"/>
          </reference>
        </references>
      </pivotArea>
    </chartFormat>
    <chartFormat chart="10"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D32678-1C17-4210-9481-C2C787B471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3:G9" firstHeaderRow="1" firstDataRow="1" firstDataCol="1"/>
  <pivotFields count="13">
    <pivotField dataField="1" showAll="0"/>
    <pivotField showAll="0"/>
    <pivotField showAll="0">
      <items count="9">
        <item x="7"/>
        <item x="0"/>
        <item x="6"/>
        <item x="2"/>
        <item x="1"/>
        <item x="4"/>
        <item x="3"/>
        <item x="5"/>
        <item t="default"/>
      </items>
    </pivotField>
    <pivotField axis="axisRow" showAll="0">
      <items count="6">
        <item x="1"/>
        <item x="2"/>
        <item x="0"/>
        <item x="4"/>
        <item x="3"/>
        <item t="default"/>
      </items>
    </pivotField>
    <pivotField showAll="0"/>
    <pivotField showAll="0"/>
    <pivotField showAll="0"/>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Fields count="1">
    <field x="3"/>
  </rowFields>
  <rowItems count="6">
    <i>
      <x/>
    </i>
    <i>
      <x v="1"/>
    </i>
    <i>
      <x v="2"/>
    </i>
    <i>
      <x v="3"/>
    </i>
    <i>
      <x v="4"/>
    </i>
    <i t="grand">
      <x/>
    </i>
  </rowItems>
  <colItems count="1">
    <i/>
  </colItems>
  <dataFields count="1">
    <dataField name="Count of Complaint_ID" fld="0" subtotal="count" baseField="0" baseItem="0"/>
  </dataField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23" format="43" series="1">
      <pivotArea type="data" outline="0" fieldPosition="0">
        <references count="1">
          <reference field="4294967294" count="1" selected="0">
            <x v="0"/>
          </reference>
        </references>
      </pivotArea>
    </chartFormat>
    <chartFormat chart="23" format="44">
      <pivotArea type="data" outline="0" fieldPosition="0">
        <references count="2">
          <reference field="4294967294" count="1" selected="0">
            <x v="0"/>
          </reference>
          <reference field="3" count="1" selected="0">
            <x v="0"/>
          </reference>
        </references>
      </pivotArea>
    </chartFormat>
    <chartFormat chart="23" format="45">
      <pivotArea type="data" outline="0" fieldPosition="0">
        <references count="2">
          <reference field="4294967294" count="1" selected="0">
            <x v="0"/>
          </reference>
          <reference field="3" count="1" selected="0">
            <x v="1"/>
          </reference>
        </references>
      </pivotArea>
    </chartFormat>
    <chartFormat chart="23" format="46">
      <pivotArea type="data" outline="0" fieldPosition="0">
        <references count="2">
          <reference field="4294967294" count="1" selected="0">
            <x v="0"/>
          </reference>
          <reference field="3" count="1" selected="0">
            <x v="2"/>
          </reference>
        </references>
      </pivotArea>
    </chartFormat>
    <chartFormat chart="23" format="47">
      <pivotArea type="data" outline="0" fieldPosition="0">
        <references count="2">
          <reference field="4294967294" count="1" selected="0">
            <x v="0"/>
          </reference>
          <reference field="3" count="1" selected="0">
            <x v="3"/>
          </reference>
        </references>
      </pivotArea>
    </chartFormat>
    <chartFormat chart="23" format="4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8E15DC-F33F-4DA2-B1E8-86C220C84D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dataField="1"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pivotField showAll="0"/>
    <pivotField showAll="0"/>
    <pivotField showAll="0"/>
    <pivotField showAll="0"/>
    <pivotField showAll="0"/>
    <pivotField showAll="0"/>
    <pivotField showAll="0">
      <items count="13">
        <item x="8"/>
        <item x="10"/>
        <item x="3"/>
        <item x="11"/>
        <item x="2"/>
        <item x="5"/>
        <item x="7"/>
        <item x="9"/>
        <item x="1"/>
        <item x="0"/>
        <item x="6"/>
        <item x="4"/>
        <item t="default"/>
      </items>
    </pivotField>
    <pivotField showAll="0">
      <items count="4">
        <item x="0"/>
        <item x="1"/>
        <item x="2"/>
        <item t="default"/>
      </items>
    </pivotField>
  </pivotFields>
  <rowItems count="1">
    <i/>
  </rowItems>
  <colItems count="1">
    <i/>
  </colItems>
  <dataFields count="1">
    <dataField name="Count of Complai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BB2401D-287C-4D7F-9A9B-6DC19C2DCA2F}" sourceName="Channel">
  <pivotTables>
    <pivotTable tabId="3" name="PivotTable22"/>
    <pivotTable tabId="3" name="PivotTable12"/>
    <pivotTable tabId="3" name="PivotTable13"/>
    <pivotTable tabId="3" name="PivotTable17"/>
    <pivotTable tabId="3" name="PivotTable18"/>
    <pivotTable tabId="3" name="PivotTable2"/>
    <pivotTable tabId="3" name="PivotTable3"/>
    <pivotTable tabId="3" name="PivotTable4"/>
    <pivotTable tabId="3" name="PivotTable5"/>
    <pivotTable tabId="3" name="PivotTable7"/>
  </pivotTables>
  <data>
    <tabular pivotCacheId="639360754">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Type" xr10:uid="{FD466637-D30E-4875-84C6-B7FB8D30B242}" sourceName="Complaint_Type">
  <pivotTables>
    <pivotTable tabId="3" name="PivotTable22"/>
    <pivotTable tabId="3" name="PivotTable12"/>
    <pivotTable tabId="3" name="PivotTable13"/>
    <pivotTable tabId="3" name="PivotTable17"/>
    <pivotTable tabId="3" name="PivotTable18"/>
    <pivotTable tabId="3" name="PivotTable2"/>
    <pivotTable tabId="3" name="PivotTable3"/>
    <pivotTable tabId="3" name="PivotTable4"/>
    <pivotTable tabId="3" name="PivotTable5"/>
    <pivotTable tabId="3" name="PivotTable7"/>
  </pivotTables>
  <data>
    <tabular pivotCacheId="639360754">
      <items count="8">
        <i x="7" s="1"/>
        <i x="0" s="1"/>
        <i x="6" s="1"/>
        <i x="2"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Speed" xr10:uid="{349EEFBA-A9BD-4CF1-BB5F-30047EE674EC}" sourceName="Resolution Speed">
  <pivotTables>
    <pivotTable tabId="3" name="PivotTable22"/>
    <pivotTable tabId="3" name="PivotTable12"/>
    <pivotTable tabId="3" name="PivotTable13"/>
    <pivotTable tabId="3" name="PivotTable17"/>
    <pivotTable tabId="3" name="PivotTable18"/>
    <pivotTable tabId="3" name="PivotTable2"/>
    <pivotTable tabId="3" name="PivotTable3"/>
    <pivotTable tabId="3" name="PivotTable4"/>
    <pivotTable tabId="3" name="PivotTable5"/>
    <pivotTable tabId="3" name="PivotTable7"/>
  </pivotTables>
  <data>
    <tabular pivotCacheId="63936075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Month" xr10:uid="{CD99B259-5957-49B7-925A-BDE16D5D5660}" sourceName="Complaint_Month">
  <pivotTables>
    <pivotTable tabId="3" name="PivotTable5"/>
    <pivotTable tabId="3" name="PivotTable12"/>
    <pivotTable tabId="3" name="PivotTable13"/>
    <pivotTable tabId="3" name="PivotTable17"/>
    <pivotTable tabId="3" name="PivotTable18"/>
    <pivotTable tabId="3" name="PivotTable2"/>
    <pivotTable tabId="3" name="PivotTable22"/>
    <pivotTable tabId="3" name="PivotTable3"/>
    <pivotTable tabId="3" name="PivotTable4"/>
    <pivotTable tabId="3" name="PivotTable7"/>
  </pivotTables>
  <data>
    <tabular pivotCacheId="639360754">
      <items count="12">
        <i x="8" s="1"/>
        <i x="10" s="1"/>
        <i x="3" s="1"/>
        <i x="11" s="1"/>
        <i x="2" s="1"/>
        <i x="5" s="1"/>
        <i x="7" s="1"/>
        <i x="9" s="1"/>
        <i x="1"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55386447-ACFF-452A-9D3B-6797327923B9}" cache="Slicer_Channel" caption="Channel" style="Slicer Style 1" rowHeight="241300"/>
  <slicer name="Complaint_Type" xr10:uid="{1D3393E0-CC0A-450F-AE34-AF20DA050926}" cache="Slicer_Complaint_Type" caption="Complaint Type" columnCount="2" style="Slicer Style 1" rowHeight="241300"/>
  <slicer name="Resolution Speed" xr10:uid="{36737D97-FBD1-4710-ABBD-DA42842E6506}" cache="Slicer_Resolution_Speed" caption="Resolution Speed" columnCount="3" style="Slicer Style 1" rowHeight="241300"/>
  <slicer name="Complaint_Month" xr10:uid="{F9BBF3A7-1772-4CD7-9659-EA9E4B131020}" cache="Slicer_Complaint_Month" caption="Month"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93050-84F7-46FF-A070-97B62CDB3685}" name="Table1" displayName="Table1" ref="A1:M1201" totalsRowShown="0" headerRowDxfId="10" headerRowBorderDxfId="9" tableBorderDxfId="8">
  <autoFilter ref="A1:M1201" xr:uid="{18093050-84F7-46FF-A070-97B62CDB3685}"/>
  <tableColumns count="13">
    <tableColumn id="1" xr3:uid="{F3E4B11C-ED34-4AA5-83B5-2CC807D70370}" name="Complaint_ID"/>
    <tableColumn id="2" xr3:uid="{1852C84B-8F8F-484C-A348-200CF5F8B598}" name="Customer_ID"/>
    <tableColumn id="3" xr3:uid="{A07752F9-BD4C-435B-9804-8D496AB4002F}" name="Complaint_Type"/>
    <tableColumn id="4" xr3:uid="{75EBCB97-574D-4510-8A69-FC6DEB171B4B}" name="Channel"/>
    <tableColumn id="5" xr3:uid="{012C64F0-C59C-4005-993A-BEFDDCA707FE}" name="Complaint_Date" dataDxfId="7"/>
    <tableColumn id="6" xr3:uid="{864F474D-77FE-4B52-A821-0CB94AED7B1B}" name="Resolution_Time_Hours"/>
    <tableColumn id="7" xr3:uid="{F277FF9D-0416-42C1-BB86-8CBC659F7887}" name="Resolution_Status"/>
    <tableColumn id="8" xr3:uid="{462D9D26-813D-4628-8520-1915A5961366}" name="Resolution_Date" dataDxfId="6"/>
    <tableColumn id="9" xr3:uid="{5B70A328-F2D1-4F68-9889-5B588EDB2401}" name="Customer_Rating"/>
    <tableColumn id="10" xr3:uid="{E0D13926-CFCD-44C5-8DCC-148ED2D07CC8}" name="Resolution status" dataDxfId="5">
      <calculatedColumnFormula>IF(Table1[[#This Row],[Resolution_Date]]="NA","Unresolved","Resolved")</calculatedColumnFormula>
    </tableColumn>
    <tableColumn id="11" xr3:uid="{B1735DE4-2678-4445-B11A-2449EACDF28B}" name="Resolution_Delay (Days" dataDxfId="4">
      <calculatedColumnFormula>IF(Table1[[#This Row],[Resolution_Date]]="NA"," ",Table1[[#This Row],[Resolution_Date]]-Table1[[#This Row],[Complaint_Date]])</calculatedColumnFormula>
    </tableColumn>
    <tableColumn id="12" xr3:uid="{4A368B78-E07E-45DF-9147-A1E831E85667}" name="Complaint_Month" dataDxfId="3">
      <calculatedColumnFormula>TEXT(Table1[[#This Row],[Complaint_Date]],"MMM")</calculatedColumnFormula>
    </tableColumn>
    <tableColumn id="13" xr3:uid="{62DA67CD-5F24-4C27-A6B0-EA982CAFA500}" name="Resolution Speed" dataDxfId="2">
      <calculatedColumnFormula>IF(Table1[[#This Row],[Resolution_Time_Hours]]&lt;=24,"Fast",IF(Table1[[#This Row],[Resolution_Time_Hours]]&lt;=72,"Medium","Slow"))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87BE-1A57-4181-99F6-F0055125535E}">
  <dimension ref="A2:J40"/>
  <sheetViews>
    <sheetView zoomScaleNormal="100" workbookViewId="0">
      <selection activeCell="A2" sqref="A2"/>
    </sheetView>
  </sheetViews>
  <sheetFormatPr defaultRowHeight="14.4" x14ac:dyDescent="0.3"/>
  <cols>
    <col min="1" max="1" width="12.5546875" bestFit="1" customWidth="1"/>
    <col min="2" max="2" width="24.21875" bestFit="1" customWidth="1"/>
    <col min="3" max="3" width="7.88671875" bestFit="1" customWidth="1"/>
    <col min="4" max="4" width="12.5546875" bestFit="1" customWidth="1"/>
    <col min="5" max="5" width="20.44140625" bestFit="1" customWidth="1"/>
    <col min="6" max="6" width="12.5546875" bestFit="1" customWidth="1"/>
    <col min="7" max="7" width="20.44140625" bestFit="1" customWidth="1"/>
    <col min="8" max="8" width="31" bestFit="1" customWidth="1"/>
    <col min="9" max="9" width="12.5546875" bestFit="1" customWidth="1"/>
    <col min="10" max="10" width="25.44140625" bestFit="1" customWidth="1"/>
  </cols>
  <sheetData>
    <row r="2" spans="1:10" x14ac:dyDescent="0.3">
      <c r="D2" t="s">
        <v>2796</v>
      </c>
      <c r="F2" t="s">
        <v>2798</v>
      </c>
    </row>
    <row r="3" spans="1:10" x14ac:dyDescent="0.3">
      <c r="D3" t="s">
        <v>2795</v>
      </c>
      <c r="F3" s="4" t="s">
        <v>2793</v>
      </c>
      <c r="G3" t="s">
        <v>2795</v>
      </c>
    </row>
    <row r="4" spans="1:10" x14ac:dyDescent="0.3">
      <c r="D4">
        <v>1200</v>
      </c>
      <c r="F4" s="5" t="s">
        <v>18</v>
      </c>
      <c r="G4">
        <v>243</v>
      </c>
    </row>
    <row r="5" spans="1:10" x14ac:dyDescent="0.3">
      <c r="F5" s="5" t="s">
        <v>27</v>
      </c>
      <c r="G5">
        <v>243</v>
      </c>
      <c r="I5" s="4" t="s">
        <v>2793</v>
      </c>
      <c r="J5" t="s">
        <v>2797</v>
      </c>
    </row>
    <row r="6" spans="1:10" x14ac:dyDescent="0.3">
      <c r="D6" t="s">
        <v>2797</v>
      </c>
      <c r="F6" s="5" t="s">
        <v>12</v>
      </c>
      <c r="G6">
        <v>247</v>
      </c>
      <c r="I6" s="5" t="s">
        <v>18</v>
      </c>
      <c r="J6" s="7">
        <v>3.1403508771929824</v>
      </c>
    </row>
    <row r="7" spans="1:10" x14ac:dyDescent="0.3">
      <c r="D7" s="7">
        <v>3.2222222222222223</v>
      </c>
      <c r="F7" s="5" t="s">
        <v>95</v>
      </c>
      <c r="G7">
        <v>222</v>
      </c>
      <c r="I7" s="5" t="s">
        <v>27</v>
      </c>
      <c r="J7" s="7">
        <v>3.4969325153374231</v>
      </c>
    </row>
    <row r="8" spans="1:10" x14ac:dyDescent="0.3">
      <c r="F8" s="5" t="s">
        <v>38</v>
      </c>
      <c r="G8">
        <v>245</v>
      </c>
      <c r="I8" s="5" t="s">
        <v>12</v>
      </c>
      <c r="J8" s="7">
        <v>3.1358024691358026</v>
      </c>
    </row>
    <row r="9" spans="1:10" x14ac:dyDescent="0.3">
      <c r="D9" t="s">
        <v>2811</v>
      </c>
      <c r="F9" s="5" t="s">
        <v>2794</v>
      </c>
      <c r="G9">
        <v>1200</v>
      </c>
      <c r="I9" s="5" t="s">
        <v>95</v>
      </c>
      <c r="J9" s="7">
        <v>3.2765957446808511</v>
      </c>
    </row>
    <row r="10" spans="1:10" x14ac:dyDescent="0.3">
      <c r="D10" s="4" t="s">
        <v>2793</v>
      </c>
      <c r="E10" t="s">
        <v>2795</v>
      </c>
      <c r="G10" t="s">
        <v>2816</v>
      </c>
      <c r="I10" s="5" t="s">
        <v>38</v>
      </c>
      <c r="J10" s="7">
        <v>3.0547945205479454</v>
      </c>
    </row>
    <row r="11" spans="1:10" x14ac:dyDescent="0.3">
      <c r="D11" s="5" t="s">
        <v>2799</v>
      </c>
      <c r="E11" s="9">
        <v>109</v>
      </c>
      <c r="G11" s="4" t="s">
        <v>2793</v>
      </c>
      <c r="H11" t="s">
        <v>2814</v>
      </c>
      <c r="I11" s="5" t="s">
        <v>2794</v>
      </c>
      <c r="J11" s="9">
        <v>3.2222222222222223</v>
      </c>
    </row>
    <row r="12" spans="1:10" x14ac:dyDescent="0.3">
      <c r="D12" s="5" t="s">
        <v>2800</v>
      </c>
      <c r="E12" s="9">
        <v>95</v>
      </c>
      <c r="G12" s="5" t="s">
        <v>20</v>
      </c>
      <c r="H12">
        <v>783</v>
      </c>
    </row>
    <row r="13" spans="1:10" x14ac:dyDescent="0.3">
      <c r="D13" s="5" t="s">
        <v>2801</v>
      </c>
      <c r="E13" s="9">
        <v>117</v>
      </c>
      <c r="G13" s="5" t="s">
        <v>2815</v>
      </c>
      <c r="H13">
        <v>417</v>
      </c>
    </row>
    <row r="14" spans="1:10" x14ac:dyDescent="0.3">
      <c r="A14" t="s">
        <v>2818</v>
      </c>
      <c r="D14" s="5" t="s">
        <v>2802</v>
      </c>
      <c r="E14" s="9">
        <v>91</v>
      </c>
      <c r="G14" s="5" t="s">
        <v>2794</v>
      </c>
      <c r="H14">
        <v>1200</v>
      </c>
    </row>
    <row r="15" spans="1:10" x14ac:dyDescent="0.3">
      <c r="A15" s="8">
        <v>27.702500000000001</v>
      </c>
      <c r="D15" s="5" t="s">
        <v>2803</v>
      </c>
      <c r="E15" s="9">
        <v>91</v>
      </c>
    </row>
    <row r="16" spans="1:10" x14ac:dyDescent="0.3">
      <c r="D16" s="5" t="s">
        <v>2804</v>
      </c>
      <c r="E16" s="9">
        <v>90</v>
      </c>
      <c r="G16" t="s">
        <v>2817</v>
      </c>
    </row>
    <row r="17" spans="1:8" x14ac:dyDescent="0.3">
      <c r="A17" s="4" t="s">
        <v>2793</v>
      </c>
      <c r="B17" t="s">
        <v>2814</v>
      </c>
      <c r="D17" s="5" t="s">
        <v>2805</v>
      </c>
      <c r="E17" s="9">
        <v>99</v>
      </c>
      <c r="G17" s="4" t="s">
        <v>2793</v>
      </c>
      <c r="H17" t="s">
        <v>2818</v>
      </c>
    </row>
    <row r="18" spans="1:8" x14ac:dyDescent="0.3">
      <c r="A18" s="5" t="s">
        <v>2812</v>
      </c>
      <c r="B18" s="8">
        <v>417</v>
      </c>
      <c r="D18" s="5" t="s">
        <v>2806</v>
      </c>
      <c r="E18" s="9">
        <v>111</v>
      </c>
      <c r="G18" s="5" t="s">
        <v>110</v>
      </c>
      <c r="H18" s="9">
        <v>13.259541984732824</v>
      </c>
    </row>
    <row r="19" spans="1:8" x14ac:dyDescent="0.3">
      <c r="A19" s="5" t="s">
        <v>2813</v>
      </c>
      <c r="B19" s="8">
        <v>783</v>
      </c>
      <c r="D19" s="5" t="s">
        <v>2807</v>
      </c>
      <c r="E19" s="9">
        <v>101</v>
      </c>
      <c r="G19" s="5" t="s">
        <v>11</v>
      </c>
      <c r="H19" s="9">
        <v>25.993197278911566</v>
      </c>
    </row>
    <row r="20" spans="1:8" x14ac:dyDescent="0.3">
      <c r="A20" s="5" t="s">
        <v>2794</v>
      </c>
      <c r="B20" s="8">
        <v>1200</v>
      </c>
      <c r="D20" s="5" t="s">
        <v>2808</v>
      </c>
      <c r="E20" s="9">
        <v>91</v>
      </c>
      <c r="G20" s="5" t="s">
        <v>70</v>
      </c>
      <c r="H20" s="9">
        <v>13.726708074534162</v>
      </c>
    </row>
    <row r="21" spans="1:8" x14ac:dyDescent="0.3">
      <c r="A21" t="s">
        <v>2821</v>
      </c>
      <c r="B21" s="10">
        <f>GETPIVOTDATA("Is_Resolved",$A$17,"Is_Resolved","Yes")/GETPIVOTDATA("Is_Resolved",$A$17)</f>
        <v>0.65249999999999997</v>
      </c>
      <c r="D21" s="5" t="s">
        <v>2809</v>
      </c>
      <c r="E21" s="9">
        <v>95</v>
      </c>
      <c r="G21" s="5" t="s">
        <v>34</v>
      </c>
      <c r="H21" s="9">
        <v>60.860606060606059</v>
      </c>
    </row>
    <row r="22" spans="1:8" x14ac:dyDescent="0.3">
      <c r="D22" s="5" t="s">
        <v>2810</v>
      </c>
      <c r="E22" s="9">
        <v>110</v>
      </c>
      <c r="G22" s="5" t="s">
        <v>17</v>
      </c>
      <c r="H22" s="9">
        <v>19.100671140939596</v>
      </c>
    </row>
    <row r="23" spans="1:8" x14ac:dyDescent="0.3">
      <c r="A23" s="4" t="s">
        <v>2793</v>
      </c>
      <c r="B23" t="s">
        <v>2823</v>
      </c>
      <c r="D23" s="5" t="s">
        <v>2794</v>
      </c>
      <c r="E23" s="9">
        <v>1200</v>
      </c>
      <c r="G23" s="5" t="s">
        <v>48</v>
      </c>
      <c r="H23" s="9">
        <v>38.034013605442176</v>
      </c>
    </row>
    <row r="24" spans="1:8" x14ac:dyDescent="0.3">
      <c r="A24" s="5" t="s">
        <v>14</v>
      </c>
      <c r="B24">
        <v>241</v>
      </c>
      <c r="G24" s="5" t="s">
        <v>43</v>
      </c>
      <c r="H24" s="9">
        <v>39.263157894736842</v>
      </c>
    </row>
    <row r="25" spans="1:8" x14ac:dyDescent="0.3">
      <c r="A25" s="5" t="s">
        <v>40</v>
      </c>
      <c r="B25">
        <v>176</v>
      </c>
      <c r="G25" s="5" t="s">
        <v>53</v>
      </c>
      <c r="H25" s="9">
        <v>6.9459459459459456</v>
      </c>
    </row>
    <row r="26" spans="1:8" x14ac:dyDescent="0.3">
      <c r="A26" s="5" t="s">
        <v>20</v>
      </c>
      <c r="B26">
        <v>783</v>
      </c>
      <c r="G26" s="5" t="s">
        <v>2794</v>
      </c>
      <c r="H26" s="9">
        <v>27.702500000000001</v>
      </c>
    </row>
    <row r="27" spans="1:8" x14ac:dyDescent="0.3">
      <c r="A27" s="5" t="s">
        <v>2794</v>
      </c>
      <c r="B27">
        <v>1200</v>
      </c>
    </row>
    <row r="30" spans="1:8" x14ac:dyDescent="0.3">
      <c r="A30" s="4" t="s">
        <v>2823</v>
      </c>
      <c r="B30" s="4" t="s">
        <v>2824</v>
      </c>
    </row>
    <row r="31" spans="1:8" x14ac:dyDescent="0.3">
      <c r="A31" s="4" t="s">
        <v>2793</v>
      </c>
      <c r="B31" t="s">
        <v>14</v>
      </c>
      <c r="C31" t="s">
        <v>40</v>
      </c>
      <c r="D31" t="s">
        <v>20</v>
      </c>
      <c r="E31" t="s">
        <v>2794</v>
      </c>
    </row>
    <row r="32" spans="1:8" x14ac:dyDescent="0.3">
      <c r="A32" s="5" t="s">
        <v>110</v>
      </c>
      <c r="B32">
        <v>25</v>
      </c>
      <c r="C32">
        <v>23</v>
      </c>
      <c r="D32">
        <v>83</v>
      </c>
      <c r="E32">
        <v>131</v>
      </c>
    </row>
    <row r="33" spans="1:5" x14ac:dyDescent="0.3">
      <c r="A33" s="5" t="s">
        <v>11</v>
      </c>
      <c r="B33">
        <v>31</v>
      </c>
      <c r="C33">
        <v>24</v>
      </c>
      <c r="D33">
        <v>92</v>
      </c>
      <c r="E33">
        <v>147</v>
      </c>
    </row>
    <row r="34" spans="1:5" x14ac:dyDescent="0.3">
      <c r="A34" s="5" t="s">
        <v>70</v>
      </c>
      <c r="B34">
        <v>31</v>
      </c>
      <c r="C34">
        <v>20</v>
      </c>
      <c r="D34">
        <v>110</v>
      </c>
      <c r="E34">
        <v>161</v>
      </c>
    </row>
    <row r="35" spans="1:5" x14ac:dyDescent="0.3">
      <c r="A35" s="5" t="s">
        <v>34</v>
      </c>
      <c r="B35">
        <v>32</v>
      </c>
      <c r="C35">
        <v>20</v>
      </c>
      <c r="D35">
        <v>113</v>
      </c>
      <c r="E35">
        <v>165</v>
      </c>
    </row>
    <row r="36" spans="1:5" x14ac:dyDescent="0.3">
      <c r="A36" s="5" t="s">
        <v>17</v>
      </c>
      <c r="B36">
        <v>37</v>
      </c>
      <c r="C36">
        <v>21</v>
      </c>
      <c r="D36">
        <v>91</v>
      </c>
      <c r="E36">
        <v>149</v>
      </c>
    </row>
    <row r="37" spans="1:5" x14ac:dyDescent="0.3">
      <c r="A37" s="5" t="s">
        <v>48</v>
      </c>
      <c r="B37">
        <v>28</v>
      </c>
      <c r="C37">
        <v>17</v>
      </c>
      <c r="D37">
        <v>102</v>
      </c>
      <c r="E37">
        <v>147</v>
      </c>
    </row>
    <row r="38" spans="1:5" x14ac:dyDescent="0.3">
      <c r="A38" s="5" t="s">
        <v>43</v>
      </c>
      <c r="B38">
        <v>33</v>
      </c>
      <c r="C38">
        <v>26</v>
      </c>
      <c r="D38">
        <v>93</v>
      </c>
      <c r="E38">
        <v>152</v>
      </c>
    </row>
    <row r="39" spans="1:5" x14ac:dyDescent="0.3">
      <c r="A39" s="5" t="s">
        <v>53</v>
      </c>
      <c r="B39">
        <v>24</v>
      </c>
      <c r="C39">
        <v>25</v>
      </c>
      <c r="D39">
        <v>99</v>
      </c>
      <c r="E39">
        <v>148</v>
      </c>
    </row>
    <row r="40" spans="1:5" x14ac:dyDescent="0.3">
      <c r="A40" s="5" t="s">
        <v>2794</v>
      </c>
      <c r="B40">
        <v>241</v>
      </c>
      <c r="C40">
        <v>176</v>
      </c>
      <c r="D40">
        <v>783</v>
      </c>
      <c r="E40">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FA33-704D-4A8A-B3AD-DC2128B5313F}">
  <dimension ref="A1"/>
  <sheetViews>
    <sheetView workbookViewId="0">
      <selection activeCell="G15" sqref="G15"/>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658C-9C44-4B77-8B8A-1C56059F1332}">
  <dimension ref="W31:Z35"/>
  <sheetViews>
    <sheetView showGridLines="0" tabSelected="1" zoomScale="112" zoomScaleNormal="112" workbookViewId="0">
      <selection activeCell="J45" sqref="J45"/>
    </sheetView>
  </sheetViews>
  <sheetFormatPr defaultRowHeight="14.4" x14ac:dyDescent="0.3"/>
  <sheetData>
    <row r="31" spans="23:26" x14ac:dyDescent="0.3">
      <c r="W31" t="s">
        <v>2822</v>
      </c>
      <c r="Y31" s="6" t="s">
        <v>2818</v>
      </c>
      <c r="Z31" s="6"/>
    </row>
    <row r="32" spans="23:26" x14ac:dyDescent="0.3">
      <c r="W32">
        <f>GETPIVOTDATA("Complaint_ID",Sheet1!$D$3)</f>
        <v>1200</v>
      </c>
      <c r="Y32" s="8">
        <f>GETPIVOTDATA("Resolution_Time_Hours",Sheet1!$A$14)</f>
        <v>27.702500000000001</v>
      </c>
    </row>
    <row r="34" spans="23:25" x14ac:dyDescent="0.3">
      <c r="W34" s="6" t="s">
        <v>2797</v>
      </c>
    </row>
    <row r="35" spans="23:25" x14ac:dyDescent="0.3">
      <c r="W35" s="8">
        <f>GETPIVOTDATA("Customer_Rating",Sheet1!$D$6)</f>
        <v>3.2222222222222223</v>
      </c>
      <c r="Y35" s="11">
        <f>Sheet1!B21</f>
        <v>0.65249999999999997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E1" workbookViewId="0">
      <selection activeCell="M1" sqref="M1"/>
    </sheetView>
  </sheetViews>
  <sheetFormatPr defaultRowHeight="14.4" x14ac:dyDescent="0.3"/>
  <cols>
    <col min="1" max="1" width="17.6640625" bestFit="1" customWidth="1"/>
    <col min="2" max="2" width="17" bestFit="1" customWidth="1"/>
    <col min="3" max="3" width="20.109375" bestFit="1" customWidth="1"/>
    <col min="4" max="4" width="12.88671875" bestFit="1" customWidth="1"/>
    <col min="5" max="5" width="20" bestFit="1" customWidth="1"/>
    <col min="6" max="6" width="27.109375" bestFit="1" customWidth="1"/>
    <col min="7" max="7" width="21.88671875" bestFit="1" customWidth="1"/>
    <col min="8" max="8" width="20.44140625" style="2" bestFit="1" customWidth="1"/>
    <col min="9" max="9" width="20.88671875" bestFit="1" customWidth="1"/>
    <col min="10" max="10" width="16.109375" hidden="1" customWidth="1"/>
    <col min="11" max="11" width="22.109375" customWidth="1"/>
    <col min="12" max="12" width="22" bestFit="1" customWidth="1"/>
    <col min="13" max="13" width="20.109375" customWidth="1"/>
  </cols>
  <sheetData>
    <row r="1" spans="1:13" x14ac:dyDescent="0.3">
      <c r="A1" s="1" t="s">
        <v>0</v>
      </c>
      <c r="B1" s="1" t="s">
        <v>1</v>
      </c>
      <c r="C1" s="1" t="s">
        <v>2</v>
      </c>
      <c r="D1" s="1" t="s">
        <v>3</v>
      </c>
      <c r="E1" s="1" t="s">
        <v>4</v>
      </c>
      <c r="F1" s="1" t="s">
        <v>5</v>
      </c>
      <c r="G1" s="1" t="s">
        <v>6</v>
      </c>
      <c r="H1" s="1" t="s">
        <v>7</v>
      </c>
      <c r="I1" s="1" t="s">
        <v>8</v>
      </c>
      <c r="J1" s="3" t="s">
        <v>2819</v>
      </c>
      <c r="K1" s="3" t="s">
        <v>2790</v>
      </c>
      <c r="L1" s="3" t="s">
        <v>2791</v>
      </c>
      <c r="M1" s="3" t="s">
        <v>2792</v>
      </c>
    </row>
    <row r="2" spans="1:13" x14ac:dyDescent="0.3">
      <c r="A2" t="s">
        <v>9</v>
      </c>
      <c r="B2" t="s">
        <v>10</v>
      </c>
      <c r="C2" t="s">
        <v>11</v>
      </c>
      <c r="D2" t="s">
        <v>12</v>
      </c>
      <c r="E2" s="2" t="s">
        <v>13</v>
      </c>
      <c r="F2">
        <v>13</v>
      </c>
      <c r="G2" t="s">
        <v>14</v>
      </c>
      <c r="H2" s="2" t="s">
        <v>2820</v>
      </c>
      <c r="J2" t="str">
        <f>IF(Table1[[#This Row],[Resolution_Date]]="NA","Unresolved","Resolved")</f>
        <v>Unresolved</v>
      </c>
      <c r="K2" t="str">
        <f>IF(Table1[[#This Row],[Resolution_Date]]="NA"," ",Table1[[#This Row],[Resolution_Date]]-Table1[[#This Row],[Complaint_Date]])</f>
        <v xml:space="preserve"> </v>
      </c>
      <c r="L2" t="str">
        <f>TEXT(Table1[[#This Row],[Complaint_Date]],"MMM")</f>
        <v>Oct</v>
      </c>
      <c r="M2" t="str">
        <f>IF(Table1[[#This Row],[Resolution_Time_Hours]]&lt;=24,"Fast",IF(Table1[[#This Row],[Resolution_Time_Hours]]&lt;=72,"Medium","Slow"))</f>
        <v>Fast</v>
      </c>
    </row>
    <row r="3" spans="1:13" x14ac:dyDescent="0.3">
      <c r="A3" t="s">
        <v>15</v>
      </c>
      <c r="B3" t="s">
        <v>16</v>
      </c>
      <c r="C3" t="s">
        <v>17</v>
      </c>
      <c r="D3" t="s">
        <v>18</v>
      </c>
      <c r="E3" s="2" t="s">
        <v>19</v>
      </c>
      <c r="F3">
        <v>10</v>
      </c>
      <c r="G3" t="s">
        <v>20</v>
      </c>
      <c r="H3" s="2" t="s">
        <v>19</v>
      </c>
      <c r="I3">
        <v>4</v>
      </c>
      <c r="J3" t="str">
        <f>IF(Table1[[#This Row],[Resolution_Date]]="NA","Unresolved","Resolved")</f>
        <v>Resolved</v>
      </c>
      <c r="K3">
        <f>IF(Table1[[#This Row],[Resolution_Date]]="NA"," ",Table1[[#This Row],[Resolution_Date]]-Table1[[#This Row],[Complaint_Date]])</f>
        <v>0</v>
      </c>
      <c r="L3" t="str">
        <f>TEXT(Table1[[#This Row],[Complaint_Date]],"MMM")</f>
        <v>Oct</v>
      </c>
      <c r="M3" t="str">
        <f>IF(Table1[[#This Row],[Resolution_Time_Hours]]&lt;=24,"Fast",IF(Table1[[#This Row],[Resolution_Time_Hours]]&lt;=72,"Medium","Slow"))</f>
        <v>Fast</v>
      </c>
    </row>
    <row r="4" spans="1:13" x14ac:dyDescent="0.3">
      <c r="A4" t="s">
        <v>21</v>
      </c>
      <c r="B4" t="s">
        <v>22</v>
      </c>
      <c r="C4" t="s">
        <v>11</v>
      </c>
      <c r="D4" t="s">
        <v>18</v>
      </c>
      <c r="E4" s="2" t="s">
        <v>23</v>
      </c>
      <c r="F4">
        <v>38</v>
      </c>
      <c r="G4" t="s">
        <v>20</v>
      </c>
      <c r="H4" s="2" t="s">
        <v>24</v>
      </c>
      <c r="I4">
        <v>2</v>
      </c>
      <c r="J4" t="str">
        <f>IF(Table1[[#This Row],[Resolution_Date]]="NA","Unresolved","Resolved")</f>
        <v>Resolved</v>
      </c>
      <c r="K4">
        <f>IF(Table1[[#This Row],[Resolution_Date]]="NA"," ",Table1[[#This Row],[Resolution_Date]]-Table1[[#This Row],[Complaint_Date]])</f>
        <v>1</v>
      </c>
      <c r="L4" t="str">
        <f>TEXT(Table1[[#This Row],[Complaint_Date]],"MMM")</f>
        <v>Sep</v>
      </c>
      <c r="M4" t="str">
        <f>IF(Table1[[#This Row],[Resolution_Time_Hours]]&lt;=24,"Fast",IF(Table1[[#This Row],[Resolution_Time_Hours]]&lt;=72,"Medium","Slow"))</f>
        <v>Medium</v>
      </c>
    </row>
    <row r="5" spans="1:13" x14ac:dyDescent="0.3">
      <c r="A5" t="s">
        <v>25</v>
      </c>
      <c r="B5" t="s">
        <v>26</v>
      </c>
      <c r="C5" t="s">
        <v>17</v>
      </c>
      <c r="D5" t="s">
        <v>27</v>
      </c>
      <c r="E5" s="2" t="s">
        <v>28</v>
      </c>
      <c r="F5">
        <v>6</v>
      </c>
      <c r="G5" t="s">
        <v>20</v>
      </c>
      <c r="H5" s="2" t="s">
        <v>28</v>
      </c>
      <c r="I5">
        <v>5</v>
      </c>
      <c r="J5" t="str">
        <f>IF(Table1[[#This Row],[Resolution_Date]]="NA","Unresolved","Resolved")</f>
        <v>Resolved</v>
      </c>
      <c r="K5">
        <f>IF(Table1[[#This Row],[Resolution_Date]]="NA"," ",Table1[[#This Row],[Resolution_Date]]-Table1[[#This Row],[Complaint_Date]])</f>
        <v>0</v>
      </c>
      <c r="L5" t="str">
        <f>TEXT(Table1[[#This Row],[Complaint_Date]],"MMM")</f>
        <v>May</v>
      </c>
      <c r="M5" t="str">
        <f>IF(Table1[[#This Row],[Resolution_Time_Hours]]&lt;=24,"Fast",IF(Table1[[#This Row],[Resolution_Time_Hours]]&lt;=72,"Medium","Slow"))</f>
        <v>Fast</v>
      </c>
    </row>
    <row r="6" spans="1:13" x14ac:dyDescent="0.3">
      <c r="A6" t="s">
        <v>29</v>
      </c>
      <c r="B6" t="s">
        <v>30</v>
      </c>
      <c r="C6" t="s">
        <v>17</v>
      </c>
      <c r="D6" t="s">
        <v>18</v>
      </c>
      <c r="E6" s="2" t="s">
        <v>31</v>
      </c>
      <c r="F6">
        <v>9</v>
      </c>
      <c r="G6" t="s">
        <v>14</v>
      </c>
      <c r="H6" s="2" t="s">
        <v>2820</v>
      </c>
      <c r="J6" t="str">
        <f>IF(Table1[[#This Row],[Resolution_Date]]="NA","Unresolved","Resolved")</f>
        <v>Unresolved</v>
      </c>
      <c r="K6" t="str">
        <f>IF(Table1[[#This Row],[Resolution_Date]]="NA"," ",Table1[[#This Row],[Resolution_Date]]-Table1[[#This Row],[Complaint_Date]])</f>
        <v xml:space="preserve"> </v>
      </c>
      <c r="L6" t="str">
        <f>TEXT(Table1[[#This Row],[Complaint_Date]],"MMM")</f>
        <v>Mar</v>
      </c>
      <c r="M6" t="str">
        <f>IF(Table1[[#This Row],[Resolution_Time_Hours]]&lt;=24,"Fast",IF(Table1[[#This Row],[Resolution_Time_Hours]]&lt;=72,"Medium","Slow"))</f>
        <v>Fast</v>
      </c>
    </row>
    <row r="7" spans="1:13" x14ac:dyDescent="0.3">
      <c r="A7" t="s">
        <v>32</v>
      </c>
      <c r="B7" t="s">
        <v>33</v>
      </c>
      <c r="C7" t="s">
        <v>34</v>
      </c>
      <c r="D7" t="s">
        <v>12</v>
      </c>
      <c r="E7" s="2" t="s">
        <v>35</v>
      </c>
      <c r="F7">
        <v>48</v>
      </c>
      <c r="G7" t="s">
        <v>14</v>
      </c>
      <c r="H7" s="2" t="s">
        <v>2820</v>
      </c>
      <c r="J7" t="str">
        <f>IF(Table1[[#This Row],[Resolution_Date]]="NA","Unresolved","Resolved")</f>
        <v>Unresolved</v>
      </c>
      <c r="K7" t="str">
        <f>IF(Table1[[#This Row],[Resolution_Date]]="NA"," ",Table1[[#This Row],[Resolution_Date]]-Table1[[#This Row],[Complaint_Date]])</f>
        <v xml:space="preserve"> </v>
      </c>
      <c r="L7" t="str">
        <f>TEXT(Table1[[#This Row],[Complaint_Date]],"MMM")</f>
        <v>Dec</v>
      </c>
      <c r="M7" t="str">
        <f>IF(Table1[[#This Row],[Resolution_Time_Hours]]&lt;=24,"Fast",IF(Table1[[#This Row],[Resolution_Time_Hours]]&lt;=72,"Medium","Slow"))</f>
        <v>Medium</v>
      </c>
    </row>
    <row r="8" spans="1:13" x14ac:dyDescent="0.3">
      <c r="A8" t="s">
        <v>36</v>
      </c>
      <c r="B8" t="s">
        <v>37</v>
      </c>
      <c r="C8" t="s">
        <v>17</v>
      </c>
      <c r="D8" t="s">
        <v>38</v>
      </c>
      <c r="E8" s="2" t="s">
        <v>39</v>
      </c>
      <c r="F8">
        <v>33</v>
      </c>
      <c r="G8" t="s">
        <v>40</v>
      </c>
      <c r="H8" s="2" t="s">
        <v>2820</v>
      </c>
      <c r="J8" t="str">
        <f>IF(Table1[[#This Row],[Resolution_Date]]="NA","Unresolved","Resolved")</f>
        <v>Unresolved</v>
      </c>
      <c r="K8" t="str">
        <f>IF(Table1[[#This Row],[Resolution_Date]]="NA"," ",Table1[[#This Row],[Resolution_Date]]-Table1[[#This Row],[Complaint_Date]])</f>
        <v xml:space="preserve"> </v>
      </c>
      <c r="L8" t="str">
        <f>TEXT(Table1[[#This Row],[Complaint_Date]],"MMM")</f>
        <v>Jun</v>
      </c>
      <c r="M8" t="str">
        <f>IF(Table1[[#This Row],[Resolution_Time_Hours]]&lt;=24,"Fast",IF(Table1[[#This Row],[Resolution_Time_Hours]]&lt;=72,"Medium","Slow"))</f>
        <v>Medium</v>
      </c>
    </row>
    <row r="9" spans="1:13" x14ac:dyDescent="0.3">
      <c r="A9" t="s">
        <v>41</v>
      </c>
      <c r="B9" t="s">
        <v>42</v>
      </c>
      <c r="C9" t="s">
        <v>43</v>
      </c>
      <c r="D9" t="s">
        <v>18</v>
      </c>
      <c r="E9" s="2" t="s">
        <v>44</v>
      </c>
      <c r="F9">
        <v>42</v>
      </c>
      <c r="G9" t="s">
        <v>20</v>
      </c>
      <c r="H9" s="2" t="s">
        <v>45</v>
      </c>
      <c r="I9">
        <v>2</v>
      </c>
      <c r="J9" t="str">
        <f>IF(Table1[[#This Row],[Resolution_Date]]="NA","Unresolved","Resolved")</f>
        <v>Resolved</v>
      </c>
      <c r="K9">
        <f>IF(Table1[[#This Row],[Resolution_Date]]="NA"," ",Table1[[#This Row],[Resolution_Date]]-Table1[[#This Row],[Complaint_Date]])</f>
        <v>1</v>
      </c>
      <c r="L9" t="str">
        <f>TEXT(Table1[[#This Row],[Complaint_Date]],"MMM")</f>
        <v>Nov</v>
      </c>
      <c r="M9" t="str">
        <f>IF(Table1[[#This Row],[Resolution_Time_Hours]]&lt;=24,"Fast",IF(Table1[[#This Row],[Resolution_Time_Hours]]&lt;=72,"Medium","Slow"))</f>
        <v>Medium</v>
      </c>
    </row>
    <row r="10" spans="1:13" x14ac:dyDescent="0.3">
      <c r="A10" t="s">
        <v>46</v>
      </c>
      <c r="B10" t="s">
        <v>47</v>
      </c>
      <c r="C10" t="s">
        <v>48</v>
      </c>
      <c r="D10" t="s">
        <v>18</v>
      </c>
      <c r="E10" s="2" t="s">
        <v>49</v>
      </c>
      <c r="F10">
        <v>26</v>
      </c>
      <c r="G10" t="s">
        <v>20</v>
      </c>
      <c r="H10" s="2" t="s">
        <v>50</v>
      </c>
      <c r="I10">
        <v>5</v>
      </c>
      <c r="J10" t="str">
        <f>IF(Table1[[#This Row],[Resolution_Date]]="NA","Unresolved","Resolved")</f>
        <v>Resolved</v>
      </c>
      <c r="K10">
        <f>IF(Table1[[#This Row],[Resolution_Date]]="NA"," ",Table1[[#This Row],[Resolution_Date]]-Table1[[#This Row],[Complaint_Date]])</f>
        <v>1</v>
      </c>
      <c r="L10" t="str">
        <f>TEXT(Table1[[#This Row],[Complaint_Date]],"MMM")</f>
        <v>Jul</v>
      </c>
      <c r="M10" t="str">
        <f>IF(Table1[[#This Row],[Resolution_Time_Hours]]&lt;=24,"Fast",IF(Table1[[#This Row],[Resolution_Time_Hours]]&lt;=72,"Medium","Slow"))</f>
        <v>Medium</v>
      </c>
    </row>
    <row r="11" spans="1:13" x14ac:dyDescent="0.3">
      <c r="A11" t="s">
        <v>51</v>
      </c>
      <c r="B11" t="s">
        <v>52</v>
      </c>
      <c r="C11" t="s">
        <v>53</v>
      </c>
      <c r="D11" t="s">
        <v>27</v>
      </c>
      <c r="E11" s="2" t="s">
        <v>54</v>
      </c>
      <c r="F11">
        <v>4</v>
      </c>
      <c r="G11" t="s">
        <v>40</v>
      </c>
      <c r="H11" s="2" t="s">
        <v>2820</v>
      </c>
      <c r="J11" t="str">
        <f>IF(Table1[[#This Row],[Resolution_Date]]="NA","Unresolved","Resolved")</f>
        <v>Unresolved</v>
      </c>
      <c r="K11" t="str">
        <f>IF(Table1[[#This Row],[Resolution_Date]]="NA"," ",Table1[[#This Row],[Resolution_Date]]-Table1[[#This Row],[Complaint_Date]])</f>
        <v xml:space="preserve"> </v>
      </c>
      <c r="L11" t="str">
        <f>TEXT(Table1[[#This Row],[Complaint_Date]],"MMM")</f>
        <v>Mar</v>
      </c>
      <c r="M11" t="str">
        <f>IF(Table1[[#This Row],[Resolution_Time_Hours]]&lt;=24,"Fast",IF(Table1[[#This Row],[Resolution_Time_Hours]]&lt;=72,"Medium","Slow"))</f>
        <v>Fast</v>
      </c>
    </row>
    <row r="12" spans="1:13" x14ac:dyDescent="0.3">
      <c r="A12" t="s">
        <v>55</v>
      </c>
      <c r="B12" t="s">
        <v>56</v>
      </c>
      <c r="C12" t="s">
        <v>11</v>
      </c>
      <c r="D12" t="s">
        <v>38</v>
      </c>
      <c r="E12" s="2" t="s">
        <v>57</v>
      </c>
      <c r="F12">
        <v>46</v>
      </c>
      <c r="G12" t="s">
        <v>40</v>
      </c>
      <c r="H12" s="2" t="s">
        <v>2820</v>
      </c>
      <c r="J12" t="str">
        <f>IF(Table1[[#This Row],[Resolution_Date]]="NA","Unresolved","Resolved")</f>
        <v>Unresolved</v>
      </c>
      <c r="K12" t="str">
        <f>IF(Table1[[#This Row],[Resolution_Date]]="NA"," ",Table1[[#This Row],[Resolution_Date]]-Table1[[#This Row],[Complaint_Date]])</f>
        <v xml:space="preserve"> </v>
      </c>
      <c r="L12" t="str">
        <f>TEXT(Table1[[#This Row],[Complaint_Date]],"MMM")</f>
        <v>Jan</v>
      </c>
      <c r="M12" t="str">
        <f>IF(Table1[[#This Row],[Resolution_Time_Hours]]&lt;=24,"Fast",IF(Table1[[#This Row],[Resolution_Time_Hours]]&lt;=72,"Medium","Slow"))</f>
        <v>Medium</v>
      </c>
    </row>
    <row r="13" spans="1:13" x14ac:dyDescent="0.3">
      <c r="A13" t="s">
        <v>58</v>
      </c>
      <c r="B13" t="s">
        <v>59</v>
      </c>
      <c r="C13" t="s">
        <v>11</v>
      </c>
      <c r="D13" t="s">
        <v>27</v>
      </c>
      <c r="E13" s="2" t="s">
        <v>60</v>
      </c>
      <c r="F13">
        <v>37</v>
      </c>
      <c r="G13" t="s">
        <v>40</v>
      </c>
      <c r="H13" s="2" t="s">
        <v>2820</v>
      </c>
      <c r="J13" t="str">
        <f>IF(Table1[[#This Row],[Resolution_Date]]="NA","Unresolved","Resolved")</f>
        <v>Unresolved</v>
      </c>
      <c r="K13" t="str">
        <f>IF(Table1[[#This Row],[Resolution_Date]]="NA"," ",Table1[[#This Row],[Resolution_Date]]-Table1[[#This Row],[Complaint_Date]])</f>
        <v xml:space="preserve"> </v>
      </c>
      <c r="L13" t="str">
        <f>TEXT(Table1[[#This Row],[Complaint_Date]],"MMM")</f>
        <v>Sep</v>
      </c>
      <c r="M13" t="str">
        <f>IF(Table1[[#This Row],[Resolution_Time_Hours]]&lt;=24,"Fast",IF(Table1[[#This Row],[Resolution_Time_Hours]]&lt;=72,"Medium","Slow"))</f>
        <v>Medium</v>
      </c>
    </row>
    <row r="14" spans="1:13" x14ac:dyDescent="0.3">
      <c r="A14" t="s">
        <v>61</v>
      </c>
      <c r="B14" t="s">
        <v>62</v>
      </c>
      <c r="C14" t="s">
        <v>43</v>
      </c>
      <c r="D14" t="s">
        <v>18</v>
      </c>
      <c r="E14" s="2" t="s">
        <v>63</v>
      </c>
      <c r="F14">
        <v>53</v>
      </c>
      <c r="G14" t="s">
        <v>20</v>
      </c>
      <c r="H14" s="2" t="s">
        <v>64</v>
      </c>
      <c r="I14">
        <v>1</v>
      </c>
      <c r="J14" t="str">
        <f>IF(Table1[[#This Row],[Resolution_Date]]="NA","Unresolved","Resolved")</f>
        <v>Resolved</v>
      </c>
      <c r="K14">
        <f>IF(Table1[[#This Row],[Resolution_Date]]="NA"," ",Table1[[#This Row],[Resolution_Date]]-Table1[[#This Row],[Complaint_Date]])</f>
        <v>2</v>
      </c>
      <c r="L14" t="str">
        <f>TEXT(Table1[[#This Row],[Complaint_Date]],"MMM")</f>
        <v>Aug</v>
      </c>
      <c r="M14" t="str">
        <f>IF(Table1[[#This Row],[Resolution_Time_Hours]]&lt;=24,"Fast",IF(Table1[[#This Row],[Resolution_Time_Hours]]&lt;=72,"Medium","Slow"))</f>
        <v>Medium</v>
      </c>
    </row>
    <row r="15" spans="1:13" x14ac:dyDescent="0.3">
      <c r="A15" t="s">
        <v>65</v>
      </c>
      <c r="B15" t="s">
        <v>66</v>
      </c>
      <c r="C15" t="s">
        <v>43</v>
      </c>
      <c r="D15" t="s">
        <v>12</v>
      </c>
      <c r="E15" s="2" t="s">
        <v>67</v>
      </c>
      <c r="F15">
        <v>23</v>
      </c>
      <c r="G15" t="s">
        <v>20</v>
      </c>
      <c r="H15" s="2" t="s">
        <v>67</v>
      </c>
      <c r="I15">
        <v>3</v>
      </c>
      <c r="J15" t="str">
        <f>IF(Table1[[#This Row],[Resolution_Date]]="NA","Unresolved","Resolved")</f>
        <v>Resolved</v>
      </c>
      <c r="K15">
        <f>IF(Table1[[#This Row],[Resolution_Date]]="NA"," ",Table1[[#This Row],[Resolution_Date]]-Table1[[#This Row],[Complaint_Date]])</f>
        <v>0</v>
      </c>
      <c r="L15" t="str">
        <f>TEXT(Table1[[#This Row],[Complaint_Date]],"MMM")</f>
        <v>Dec</v>
      </c>
      <c r="M15" t="str">
        <f>IF(Table1[[#This Row],[Resolution_Time_Hours]]&lt;=24,"Fast",IF(Table1[[#This Row],[Resolution_Time_Hours]]&lt;=72,"Medium","Slow"))</f>
        <v>Fast</v>
      </c>
    </row>
    <row r="16" spans="1:13" x14ac:dyDescent="0.3">
      <c r="A16" t="s">
        <v>68</v>
      </c>
      <c r="B16" t="s">
        <v>69</v>
      </c>
      <c r="C16" t="s">
        <v>70</v>
      </c>
      <c r="D16" t="s">
        <v>18</v>
      </c>
      <c r="E16" s="2" t="s">
        <v>71</v>
      </c>
      <c r="F16">
        <v>8</v>
      </c>
      <c r="G16" t="s">
        <v>20</v>
      </c>
      <c r="H16" s="2" t="s">
        <v>71</v>
      </c>
      <c r="I16">
        <v>4</v>
      </c>
      <c r="J16" t="str">
        <f>IF(Table1[[#This Row],[Resolution_Date]]="NA","Unresolved","Resolved")</f>
        <v>Resolved</v>
      </c>
      <c r="K16">
        <f>IF(Table1[[#This Row],[Resolution_Date]]="NA"," ",Table1[[#This Row],[Resolution_Date]]-Table1[[#This Row],[Complaint_Date]])</f>
        <v>0</v>
      </c>
      <c r="L16" t="str">
        <f>TEXT(Table1[[#This Row],[Complaint_Date]],"MMM")</f>
        <v>Jul</v>
      </c>
      <c r="M16" t="str">
        <f>IF(Table1[[#This Row],[Resolution_Time_Hours]]&lt;=24,"Fast",IF(Table1[[#This Row],[Resolution_Time_Hours]]&lt;=72,"Medium","Slow"))</f>
        <v>Fast</v>
      </c>
    </row>
    <row r="17" spans="1:13" x14ac:dyDescent="0.3">
      <c r="A17" t="s">
        <v>72</v>
      </c>
      <c r="B17" t="s">
        <v>73</v>
      </c>
      <c r="C17" t="s">
        <v>70</v>
      </c>
      <c r="D17" t="s">
        <v>27</v>
      </c>
      <c r="E17" s="2" t="s">
        <v>74</v>
      </c>
      <c r="F17">
        <v>13</v>
      </c>
      <c r="G17" t="s">
        <v>40</v>
      </c>
      <c r="H17" s="2" t="s">
        <v>2820</v>
      </c>
      <c r="J17" t="str">
        <f>IF(Table1[[#This Row],[Resolution_Date]]="NA","Unresolved","Resolved")</f>
        <v>Unresolved</v>
      </c>
      <c r="K17" t="str">
        <f>IF(Table1[[#This Row],[Resolution_Date]]="NA"," ",Table1[[#This Row],[Resolution_Date]]-Table1[[#This Row],[Complaint_Date]])</f>
        <v xml:space="preserve"> </v>
      </c>
      <c r="L17" t="str">
        <f>TEXT(Table1[[#This Row],[Complaint_Date]],"MMM")</f>
        <v>Aug</v>
      </c>
      <c r="M17" t="str">
        <f>IF(Table1[[#This Row],[Resolution_Time_Hours]]&lt;=24,"Fast",IF(Table1[[#This Row],[Resolution_Time_Hours]]&lt;=72,"Medium","Slow"))</f>
        <v>Fast</v>
      </c>
    </row>
    <row r="18" spans="1:13" x14ac:dyDescent="0.3">
      <c r="A18" t="s">
        <v>75</v>
      </c>
      <c r="B18" t="s">
        <v>76</v>
      </c>
      <c r="C18" t="s">
        <v>53</v>
      </c>
      <c r="D18" t="s">
        <v>18</v>
      </c>
      <c r="E18" s="2" t="s">
        <v>23</v>
      </c>
      <c r="F18">
        <v>3</v>
      </c>
      <c r="G18" t="s">
        <v>20</v>
      </c>
      <c r="H18" s="2" t="s">
        <v>23</v>
      </c>
      <c r="I18">
        <v>5</v>
      </c>
      <c r="J18" t="str">
        <f>IF(Table1[[#This Row],[Resolution_Date]]="NA","Unresolved","Resolved")</f>
        <v>Resolved</v>
      </c>
      <c r="K18">
        <f>IF(Table1[[#This Row],[Resolution_Date]]="NA"," ",Table1[[#This Row],[Resolution_Date]]-Table1[[#This Row],[Complaint_Date]])</f>
        <v>0</v>
      </c>
      <c r="L18" t="str">
        <f>TEXT(Table1[[#This Row],[Complaint_Date]],"MMM")</f>
        <v>Sep</v>
      </c>
      <c r="M18" t="str">
        <f>IF(Table1[[#This Row],[Resolution_Time_Hours]]&lt;=24,"Fast",IF(Table1[[#This Row],[Resolution_Time_Hours]]&lt;=72,"Medium","Slow"))</f>
        <v>Fast</v>
      </c>
    </row>
    <row r="19" spans="1:13" x14ac:dyDescent="0.3">
      <c r="A19" t="s">
        <v>77</v>
      </c>
      <c r="B19" t="s">
        <v>78</v>
      </c>
      <c r="C19" t="s">
        <v>43</v>
      </c>
      <c r="D19" t="s">
        <v>18</v>
      </c>
      <c r="E19" s="2" t="s">
        <v>79</v>
      </c>
      <c r="F19">
        <v>13</v>
      </c>
      <c r="G19" t="s">
        <v>20</v>
      </c>
      <c r="H19" s="2" t="s">
        <v>79</v>
      </c>
      <c r="I19">
        <v>3</v>
      </c>
      <c r="J19" t="str">
        <f>IF(Table1[[#This Row],[Resolution_Date]]="NA","Unresolved","Resolved")</f>
        <v>Resolved</v>
      </c>
      <c r="K19">
        <f>IF(Table1[[#This Row],[Resolution_Date]]="NA"," ",Table1[[#This Row],[Resolution_Date]]-Table1[[#This Row],[Complaint_Date]])</f>
        <v>0</v>
      </c>
      <c r="L19" t="str">
        <f>TEXT(Table1[[#This Row],[Complaint_Date]],"MMM")</f>
        <v>Jun</v>
      </c>
      <c r="M19" t="str">
        <f>IF(Table1[[#This Row],[Resolution_Time_Hours]]&lt;=24,"Fast",IF(Table1[[#This Row],[Resolution_Time_Hours]]&lt;=72,"Medium","Slow"))</f>
        <v>Fast</v>
      </c>
    </row>
    <row r="20" spans="1:13" x14ac:dyDescent="0.3">
      <c r="A20" t="s">
        <v>80</v>
      </c>
      <c r="B20" t="s">
        <v>81</v>
      </c>
      <c r="C20" t="s">
        <v>43</v>
      </c>
      <c r="D20" t="s">
        <v>38</v>
      </c>
      <c r="E20" s="2" t="s">
        <v>82</v>
      </c>
      <c r="F20">
        <v>59</v>
      </c>
      <c r="G20" t="s">
        <v>40</v>
      </c>
      <c r="H20" s="2" t="s">
        <v>2820</v>
      </c>
      <c r="J20" t="str">
        <f>IF(Table1[[#This Row],[Resolution_Date]]="NA","Unresolved","Resolved")</f>
        <v>Unresolved</v>
      </c>
      <c r="K20" t="str">
        <f>IF(Table1[[#This Row],[Resolution_Date]]="NA"," ",Table1[[#This Row],[Resolution_Date]]-Table1[[#This Row],[Complaint_Date]])</f>
        <v xml:space="preserve"> </v>
      </c>
      <c r="L20" t="str">
        <f>TEXT(Table1[[#This Row],[Complaint_Date]],"MMM")</f>
        <v>Sep</v>
      </c>
      <c r="M20" t="str">
        <f>IF(Table1[[#This Row],[Resolution_Time_Hours]]&lt;=24,"Fast",IF(Table1[[#This Row],[Resolution_Time_Hours]]&lt;=72,"Medium","Slow"))</f>
        <v>Medium</v>
      </c>
    </row>
    <row r="21" spans="1:13" x14ac:dyDescent="0.3">
      <c r="A21" t="s">
        <v>83</v>
      </c>
      <c r="B21" t="s">
        <v>84</v>
      </c>
      <c r="C21" t="s">
        <v>34</v>
      </c>
      <c r="D21" t="s">
        <v>38</v>
      </c>
      <c r="E21" s="2" t="s">
        <v>85</v>
      </c>
      <c r="F21">
        <v>63</v>
      </c>
      <c r="G21" t="s">
        <v>20</v>
      </c>
      <c r="H21" s="2" t="s">
        <v>86</v>
      </c>
      <c r="I21">
        <v>1</v>
      </c>
      <c r="J21" t="str">
        <f>IF(Table1[[#This Row],[Resolution_Date]]="NA","Unresolved","Resolved")</f>
        <v>Resolved</v>
      </c>
      <c r="K21">
        <f>IF(Table1[[#This Row],[Resolution_Date]]="NA"," ",Table1[[#This Row],[Resolution_Date]]-Table1[[#This Row],[Complaint_Date]])</f>
        <v>2</v>
      </c>
      <c r="L21" t="str">
        <f>TEXT(Table1[[#This Row],[Complaint_Date]],"MMM")</f>
        <v>Mar</v>
      </c>
      <c r="M21" t="str">
        <f>IF(Table1[[#This Row],[Resolution_Time_Hours]]&lt;=24,"Fast",IF(Table1[[#This Row],[Resolution_Time_Hours]]&lt;=72,"Medium","Slow"))</f>
        <v>Medium</v>
      </c>
    </row>
    <row r="22" spans="1:13" x14ac:dyDescent="0.3">
      <c r="A22" t="s">
        <v>87</v>
      </c>
      <c r="B22" t="s">
        <v>88</v>
      </c>
      <c r="C22" t="s">
        <v>70</v>
      </c>
      <c r="D22" t="s">
        <v>18</v>
      </c>
      <c r="E22" s="2" t="s">
        <v>89</v>
      </c>
      <c r="F22">
        <v>7</v>
      </c>
      <c r="G22" t="s">
        <v>20</v>
      </c>
      <c r="H22" s="2" t="s">
        <v>89</v>
      </c>
      <c r="I22">
        <v>4</v>
      </c>
      <c r="J22" t="str">
        <f>IF(Table1[[#This Row],[Resolution_Date]]="NA","Unresolved","Resolved")</f>
        <v>Resolved</v>
      </c>
      <c r="K22">
        <f>IF(Table1[[#This Row],[Resolution_Date]]="NA"," ",Table1[[#This Row],[Resolution_Date]]-Table1[[#This Row],[Complaint_Date]])</f>
        <v>0</v>
      </c>
      <c r="L22" t="str">
        <f>TEXT(Table1[[#This Row],[Complaint_Date]],"MMM")</f>
        <v>Jun</v>
      </c>
      <c r="M22" t="str">
        <f>IF(Table1[[#This Row],[Resolution_Time_Hours]]&lt;=24,"Fast",IF(Table1[[#This Row],[Resolution_Time_Hours]]&lt;=72,"Medium","Slow"))</f>
        <v>Fast</v>
      </c>
    </row>
    <row r="23" spans="1:13" x14ac:dyDescent="0.3">
      <c r="A23" t="s">
        <v>90</v>
      </c>
      <c r="B23" t="s">
        <v>91</v>
      </c>
      <c r="C23" t="s">
        <v>53</v>
      </c>
      <c r="D23" t="s">
        <v>18</v>
      </c>
      <c r="E23" s="2" t="s">
        <v>92</v>
      </c>
      <c r="F23">
        <v>1</v>
      </c>
      <c r="G23" t="s">
        <v>40</v>
      </c>
      <c r="H23" s="2" t="s">
        <v>2820</v>
      </c>
      <c r="J23" t="str">
        <f>IF(Table1[[#This Row],[Resolution_Date]]="NA","Unresolved","Resolved")</f>
        <v>Unresolved</v>
      </c>
      <c r="K23" t="str">
        <f>IF(Table1[[#This Row],[Resolution_Date]]="NA"," ",Table1[[#This Row],[Resolution_Date]]-Table1[[#This Row],[Complaint_Date]])</f>
        <v xml:space="preserve"> </v>
      </c>
      <c r="L23" t="str">
        <f>TEXT(Table1[[#This Row],[Complaint_Date]],"MMM")</f>
        <v>Feb</v>
      </c>
      <c r="M23" t="str">
        <f>IF(Table1[[#This Row],[Resolution_Time_Hours]]&lt;=24,"Fast",IF(Table1[[#This Row],[Resolution_Time_Hours]]&lt;=72,"Medium","Slow"))</f>
        <v>Fast</v>
      </c>
    </row>
    <row r="24" spans="1:13" x14ac:dyDescent="0.3">
      <c r="A24" t="s">
        <v>93</v>
      </c>
      <c r="B24" t="s">
        <v>94</v>
      </c>
      <c r="C24" t="s">
        <v>43</v>
      </c>
      <c r="D24" t="s">
        <v>95</v>
      </c>
      <c r="E24" s="2" t="s">
        <v>96</v>
      </c>
      <c r="F24">
        <v>37</v>
      </c>
      <c r="G24" t="s">
        <v>20</v>
      </c>
      <c r="H24" s="2" t="s">
        <v>97</v>
      </c>
      <c r="I24">
        <v>2</v>
      </c>
      <c r="J24" t="str">
        <f>IF(Table1[[#This Row],[Resolution_Date]]="NA","Unresolved","Resolved")</f>
        <v>Resolved</v>
      </c>
      <c r="K24">
        <f>IF(Table1[[#This Row],[Resolution_Date]]="NA"," ",Table1[[#This Row],[Resolution_Date]]-Table1[[#This Row],[Complaint_Date]])</f>
        <v>1</v>
      </c>
      <c r="L24" t="str">
        <f>TEXT(Table1[[#This Row],[Complaint_Date]],"MMM")</f>
        <v>Feb</v>
      </c>
      <c r="M24" t="str">
        <f>IF(Table1[[#This Row],[Resolution_Time_Hours]]&lt;=24,"Fast",IF(Table1[[#This Row],[Resolution_Time_Hours]]&lt;=72,"Medium","Slow"))</f>
        <v>Medium</v>
      </c>
    </row>
    <row r="25" spans="1:13" x14ac:dyDescent="0.3">
      <c r="A25" t="s">
        <v>98</v>
      </c>
      <c r="B25" t="s">
        <v>99</v>
      </c>
      <c r="C25" t="s">
        <v>48</v>
      </c>
      <c r="D25" t="s">
        <v>27</v>
      </c>
      <c r="E25" s="2" t="s">
        <v>100</v>
      </c>
      <c r="F25">
        <v>37</v>
      </c>
      <c r="G25" t="s">
        <v>14</v>
      </c>
      <c r="H25" s="2" t="s">
        <v>2820</v>
      </c>
      <c r="J25" t="str">
        <f>IF(Table1[[#This Row],[Resolution_Date]]="NA","Unresolved","Resolved")</f>
        <v>Unresolved</v>
      </c>
      <c r="K25" t="str">
        <f>IF(Table1[[#This Row],[Resolution_Date]]="NA"," ",Table1[[#This Row],[Resolution_Date]]-Table1[[#This Row],[Complaint_Date]])</f>
        <v xml:space="preserve"> </v>
      </c>
      <c r="L25" t="str">
        <f>TEXT(Table1[[#This Row],[Complaint_Date]],"MMM")</f>
        <v>Jan</v>
      </c>
      <c r="M25" t="str">
        <f>IF(Table1[[#This Row],[Resolution_Time_Hours]]&lt;=24,"Fast",IF(Table1[[#This Row],[Resolution_Time_Hours]]&lt;=72,"Medium","Slow"))</f>
        <v>Medium</v>
      </c>
    </row>
    <row r="26" spans="1:13" x14ac:dyDescent="0.3">
      <c r="A26" t="s">
        <v>101</v>
      </c>
      <c r="B26" t="s">
        <v>102</v>
      </c>
      <c r="C26" t="s">
        <v>11</v>
      </c>
      <c r="D26" t="s">
        <v>12</v>
      </c>
      <c r="E26" s="2" t="s">
        <v>103</v>
      </c>
      <c r="F26">
        <v>14</v>
      </c>
      <c r="G26" t="s">
        <v>20</v>
      </c>
      <c r="H26" s="2" t="s">
        <v>103</v>
      </c>
      <c r="I26">
        <v>3</v>
      </c>
      <c r="J26" t="str">
        <f>IF(Table1[[#This Row],[Resolution_Date]]="NA","Unresolved","Resolved")</f>
        <v>Resolved</v>
      </c>
      <c r="K26">
        <f>IF(Table1[[#This Row],[Resolution_Date]]="NA"," ",Table1[[#This Row],[Resolution_Date]]-Table1[[#This Row],[Complaint_Date]])</f>
        <v>0</v>
      </c>
      <c r="L26" t="str">
        <f>TEXT(Table1[[#This Row],[Complaint_Date]],"MMM")</f>
        <v>Apr</v>
      </c>
      <c r="M26" t="str">
        <f>IF(Table1[[#This Row],[Resolution_Time_Hours]]&lt;=24,"Fast",IF(Table1[[#This Row],[Resolution_Time_Hours]]&lt;=72,"Medium","Slow"))</f>
        <v>Fast</v>
      </c>
    </row>
    <row r="27" spans="1:13" x14ac:dyDescent="0.3">
      <c r="A27" t="s">
        <v>104</v>
      </c>
      <c r="B27" t="s">
        <v>105</v>
      </c>
      <c r="C27" t="s">
        <v>34</v>
      </c>
      <c r="D27" t="s">
        <v>18</v>
      </c>
      <c r="E27" s="2" t="s">
        <v>106</v>
      </c>
      <c r="F27">
        <v>88</v>
      </c>
      <c r="G27" t="s">
        <v>20</v>
      </c>
      <c r="H27" s="2" t="s">
        <v>107</v>
      </c>
      <c r="I27">
        <v>5</v>
      </c>
      <c r="J27" t="str">
        <f>IF(Table1[[#This Row],[Resolution_Date]]="NA","Unresolved","Resolved")</f>
        <v>Resolved</v>
      </c>
      <c r="K27">
        <f>IF(Table1[[#This Row],[Resolution_Date]]="NA"," ",Table1[[#This Row],[Resolution_Date]]-Table1[[#This Row],[Complaint_Date]])</f>
        <v>3</v>
      </c>
      <c r="L27" t="str">
        <f>TEXT(Table1[[#This Row],[Complaint_Date]],"MMM")</f>
        <v>Sep</v>
      </c>
      <c r="M27" t="str">
        <f>IF(Table1[[#This Row],[Resolution_Time_Hours]]&lt;=24,"Fast",IF(Table1[[#This Row],[Resolution_Time_Hours]]&lt;=72,"Medium","Slow"))</f>
        <v>Slow</v>
      </c>
    </row>
    <row r="28" spans="1:13" x14ac:dyDescent="0.3">
      <c r="A28" t="s">
        <v>108</v>
      </c>
      <c r="B28" t="s">
        <v>109</v>
      </c>
      <c r="C28" t="s">
        <v>110</v>
      </c>
      <c r="D28" t="s">
        <v>38</v>
      </c>
      <c r="E28" s="2" t="s">
        <v>111</v>
      </c>
      <c r="F28">
        <v>2</v>
      </c>
      <c r="G28" t="s">
        <v>20</v>
      </c>
      <c r="H28" s="2" t="s">
        <v>111</v>
      </c>
      <c r="I28">
        <v>5</v>
      </c>
      <c r="J28" t="str">
        <f>IF(Table1[[#This Row],[Resolution_Date]]="NA","Unresolved","Resolved")</f>
        <v>Resolved</v>
      </c>
      <c r="K28">
        <f>IF(Table1[[#This Row],[Resolution_Date]]="NA"," ",Table1[[#This Row],[Resolution_Date]]-Table1[[#This Row],[Complaint_Date]])</f>
        <v>0</v>
      </c>
      <c r="L28" t="str">
        <f>TEXT(Table1[[#This Row],[Complaint_Date]],"MMM")</f>
        <v>Jan</v>
      </c>
      <c r="M28" t="str">
        <f>IF(Table1[[#This Row],[Resolution_Time_Hours]]&lt;=24,"Fast",IF(Table1[[#This Row],[Resolution_Time_Hours]]&lt;=72,"Medium","Slow"))</f>
        <v>Fast</v>
      </c>
    </row>
    <row r="29" spans="1:13" x14ac:dyDescent="0.3">
      <c r="A29" t="s">
        <v>112</v>
      </c>
      <c r="B29" t="s">
        <v>113</v>
      </c>
      <c r="C29" t="s">
        <v>110</v>
      </c>
      <c r="D29" t="s">
        <v>18</v>
      </c>
      <c r="E29" s="2" t="s">
        <v>114</v>
      </c>
      <c r="F29">
        <v>3</v>
      </c>
      <c r="G29" t="s">
        <v>40</v>
      </c>
      <c r="H29" s="2" t="s">
        <v>2820</v>
      </c>
      <c r="J29" t="str">
        <f>IF(Table1[[#This Row],[Resolution_Date]]="NA","Unresolved","Resolved")</f>
        <v>Unresolved</v>
      </c>
      <c r="K29" t="str">
        <f>IF(Table1[[#This Row],[Resolution_Date]]="NA"," ",Table1[[#This Row],[Resolution_Date]]-Table1[[#This Row],[Complaint_Date]])</f>
        <v xml:space="preserve"> </v>
      </c>
      <c r="L29" t="str">
        <f>TEXT(Table1[[#This Row],[Complaint_Date]],"MMM")</f>
        <v>Jan</v>
      </c>
      <c r="M29" t="str">
        <f>IF(Table1[[#This Row],[Resolution_Time_Hours]]&lt;=24,"Fast",IF(Table1[[#This Row],[Resolution_Time_Hours]]&lt;=72,"Medium","Slow"))</f>
        <v>Fast</v>
      </c>
    </row>
    <row r="30" spans="1:13" x14ac:dyDescent="0.3">
      <c r="A30" t="s">
        <v>115</v>
      </c>
      <c r="B30" t="s">
        <v>116</v>
      </c>
      <c r="C30" t="s">
        <v>17</v>
      </c>
      <c r="D30" t="s">
        <v>18</v>
      </c>
      <c r="E30" s="2" t="s">
        <v>117</v>
      </c>
      <c r="F30">
        <v>4</v>
      </c>
      <c r="G30" t="s">
        <v>14</v>
      </c>
      <c r="H30" s="2" t="s">
        <v>2820</v>
      </c>
      <c r="J30" t="str">
        <f>IF(Table1[[#This Row],[Resolution_Date]]="NA","Unresolved","Resolved")</f>
        <v>Unresolved</v>
      </c>
      <c r="K30" t="str">
        <f>IF(Table1[[#This Row],[Resolution_Date]]="NA"," ",Table1[[#This Row],[Resolution_Date]]-Table1[[#This Row],[Complaint_Date]])</f>
        <v xml:space="preserve"> </v>
      </c>
      <c r="L30" t="str">
        <f>TEXT(Table1[[#This Row],[Complaint_Date]],"MMM")</f>
        <v>Jan</v>
      </c>
      <c r="M30" t="str">
        <f>IF(Table1[[#This Row],[Resolution_Time_Hours]]&lt;=24,"Fast",IF(Table1[[#This Row],[Resolution_Time_Hours]]&lt;=72,"Medium","Slow"))</f>
        <v>Fast</v>
      </c>
    </row>
    <row r="31" spans="1:13" x14ac:dyDescent="0.3">
      <c r="A31" t="s">
        <v>118</v>
      </c>
      <c r="B31" t="s">
        <v>119</v>
      </c>
      <c r="C31" t="s">
        <v>34</v>
      </c>
      <c r="D31" t="s">
        <v>12</v>
      </c>
      <c r="E31" s="2" t="s">
        <v>120</v>
      </c>
      <c r="F31">
        <v>77</v>
      </c>
      <c r="G31" t="s">
        <v>20</v>
      </c>
      <c r="H31" s="2" t="s">
        <v>121</v>
      </c>
      <c r="I31">
        <v>5</v>
      </c>
      <c r="J31" t="str">
        <f>IF(Table1[[#This Row],[Resolution_Date]]="NA","Unresolved","Resolved")</f>
        <v>Resolved</v>
      </c>
      <c r="K31">
        <f>IF(Table1[[#This Row],[Resolution_Date]]="NA"," ",Table1[[#This Row],[Resolution_Date]]-Table1[[#This Row],[Complaint_Date]])</f>
        <v>3</v>
      </c>
      <c r="L31" t="str">
        <f>TEXT(Table1[[#This Row],[Complaint_Date]],"MMM")</f>
        <v>Jul</v>
      </c>
      <c r="M31" t="str">
        <f>IF(Table1[[#This Row],[Resolution_Time_Hours]]&lt;=24,"Fast",IF(Table1[[#This Row],[Resolution_Time_Hours]]&lt;=72,"Medium","Slow"))</f>
        <v>Slow</v>
      </c>
    </row>
    <row r="32" spans="1:13" x14ac:dyDescent="0.3">
      <c r="A32" t="s">
        <v>122</v>
      </c>
      <c r="B32" t="s">
        <v>123</v>
      </c>
      <c r="C32" t="s">
        <v>53</v>
      </c>
      <c r="D32" t="s">
        <v>27</v>
      </c>
      <c r="E32" s="2" t="s">
        <v>124</v>
      </c>
      <c r="F32">
        <v>5</v>
      </c>
      <c r="G32" t="s">
        <v>20</v>
      </c>
      <c r="H32" s="2" t="s">
        <v>124</v>
      </c>
      <c r="I32">
        <v>5</v>
      </c>
      <c r="J32" t="str">
        <f>IF(Table1[[#This Row],[Resolution_Date]]="NA","Unresolved","Resolved")</f>
        <v>Resolved</v>
      </c>
      <c r="K32">
        <f>IF(Table1[[#This Row],[Resolution_Date]]="NA"," ",Table1[[#This Row],[Resolution_Date]]-Table1[[#This Row],[Complaint_Date]])</f>
        <v>0</v>
      </c>
      <c r="L32" t="str">
        <f>TEXT(Table1[[#This Row],[Complaint_Date]],"MMM")</f>
        <v>Mar</v>
      </c>
      <c r="M32" t="str">
        <f>IF(Table1[[#This Row],[Resolution_Time_Hours]]&lt;=24,"Fast",IF(Table1[[#This Row],[Resolution_Time_Hours]]&lt;=72,"Medium","Slow"))</f>
        <v>Fast</v>
      </c>
    </row>
    <row r="33" spans="1:13" x14ac:dyDescent="0.3">
      <c r="A33" t="s">
        <v>125</v>
      </c>
      <c r="B33" t="s">
        <v>126</v>
      </c>
      <c r="C33" t="s">
        <v>34</v>
      </c>
      <c r="D33" t="s">
        <v>12</v>
      </c>
      <c r="E33" s="2" t="s">
        <v>127</v>
      </c>
      <c r="F33">
        <v>83</v>
      </c>
      <c r="G33" t="s">
        <v>40</v>
      </c>
      <c r="H33" s="2" t="s">
        <v>2820</v>
      </c>
      <c r="J33" t="str">
        <f>IF(Table1[[#This Row],[Resolution_Date]]="NA","Unresolved","Resolved")</f>
        <v>Unresolved</v>
      </c>
      <c r="K33" t="str">
        <f>IF(Table1[[#This Row],[Resolution_Date]]="NA"," ",Table1[[#This Row],[Resolution_Date]]-Table1[[#This Row],[Complaint_Date]])</f>
        <v xml:space="preserve"> </v>
      </c>
      <c r="L33" t="str">
        <f>TEXT(Table1[[#This Row],[Complaint_Date]],"MMM")</f>
        <v>Aug</v>
      </c>
      <c r="M33" t="str">
        <f>IF(Table1[[#This Row],[Resolution_Time_Hours]]&lt;=24,"Fast",IF(Table1[[#This Row],[Resolution_Time_Hours]]&lt;=72,"Medium","Slow"))</f>
        <v>Slow</v>
      </c>
    </row>
    <row r="34" spans="1:13" x14ac:dyDescent="0.3">
      <c r="A34" t="s">
        <v>128</v>
      </c>
      <c r="B34" t="s">
        <v>129</v>
      </c>
      <c r="C34" t="s">
        <v>43</v>
      </c>
      <c r="D34" t="s">
        <v>38</v>
      </c>
      <c r="E34" s="2" t="s">
        <v>114</v>
      </c>
      <c r="F34">
        <v>50</v>
      </c>
      <c r="G34" t="s">
        <v>20</v>
      </c>
      <c r="H34" s="2" t="s">
        <v>130</v>
      </c>
      <c r="I34">
        <v>1</v>
      </c>
      <c r="J34" t="str">
        <f>IF(Table1[[#This Row],[Resolution_Date]]="NA","Unresolved","Resolved")</f>
        <v>Resolved</v>
      </c>
      <c r="K34">
        <f>IF(Table1[[#This Row],[Resolution_Date]]="NA"," ",Table1[[#This Row],[Resolution_Date]]-Table1[[#This Row],[Complaint_Date]])</f>
        <v>2</v>
      </c>
      <c r="L34" t="str">
        <f>TEXT(Table1[[#This Row],[Complaint_Date]],"MMM")</f>
        <v>Jan</v>
      </c>
      <c r="M34" t="str">
        <f>IF(Table1[[#This Row],[Resolution_Time_Hours]]&lt;=24,"Fast",IF(Table1[[#This Row],[Resolution_Time_Hours]]&lt;=72,"Medium","Slow"))</f>
        <v>Medium</v>
      </c>
    </row>
    <row r="35" spans="1:13" x14ac:dyDescent="0.3">
      <c r="A35" t="s">
        <v>131</v>
      </c>
      <c r="B35" t="s">
        <v>132</v>
      </c>
      <c r="C35" t="s">
        <v>34</v>
      </c>
      <c r="D35" t="s">
        <v>38</v>
      </c>
      <c r="E35" s="2" t="s">
        <v>89</v>
      </c>
      <c r="F35">
        <v>60</v>
      </c>
      <c r="G35" t="s">
        <v>20</v>
      </c>
      <c r="H35" s="2" t="s">
        <v>133</v>
      </c>
      <c r="I35">
        <v>1</v>
      </c>
      <c r="J35" t="str">
        <f>IF(Table1[[#This Row],[Resolution_Date]]="NA","Unresolved","Resolved")</f>
        <v>Resolved</v>
      </c>
      <c r="K35">
        <f>IF(Table1[[#This Row],[Resolution_Date]]="NA"," ",Table1[[#This Row],[Resolution_Date]]-Table1[[#This Row],[Complaint_Date]])</f>
        <v>2</v>
      </c>
      <c r="L35" t="str">
        <f>TEXT(Table1[[#This Row],[Complaint_Date]],"MMM")</f>
        <v>Jun</v>
      </c>
      <c r="M35" t="str">
        <f>IF(Table1[[#This Row],[Resolution_Time_Hours]]&lt;=24,"Fast",IF(Table1[[#This Row],[Resolution_Time_Hours]]&lt;=72,"Medium","Slow"))</f>
        <v>Medium</v>
      </c>
    </row>
    <row r="36" spans="1:13" x14ac:dyDescent="0.3">
      <c r="A36" t="s">
        <v>134</v>
      </c>
      <c r="B36" t="s">
        <v>135</v>
      </c>
      <c r="C36" t="s">
        <v>48</v>
      </c>
      <c r="D36" t="s">
        <v>27</v>
      </c>
      <c r="E36" s="2" t="s">
        <v>136</v>
      </c>
      <c r="F36">
        <v>64</v>
      </c>
      <c r="G36" t="s">
        <v>20</v>
      </c>
      <c r="H36" s="2" t="s">
        <v>137</v>
      </c>
      <c r="I36">
        <v>1</v>
      </c>
      <c r="J36" t="str">
        <f>IF(Table1[[#This Row],[Resolution_Date]]="NA","Unresolved","Resolved")</f>
        <v>Resolved</v>
      </c>
      <c r="K36">
        <f>IF(Table1[[#This Row],[Resolution_Date]]="NA"," ",Table1[[#This Row],[Resolution_Date]]-Table1[[#This Row],[Complaint_Date]])</f>
        <v>2</v>
      </c>
      <c r="L36" t="str">
        <f>TEXT(Table1[[#This Row],[Complaint_Date]],"MMM")</f>
        <v>Mar</v>
      </c>
      <c r="M36" t="str">
        <f>IF(Table1[[#This Row],[Resolution_Time_Hours]]&lt;=24,"Fast",IF(Table1[[#This Row],[Resolution_Time_Hours]]&lt;=72,"Medium","Slow"))</f>
        <v>Medium</v>
      </c>
    </row>
    <row r="37" spans="1:13" x14ac:dyDescent="0.3">
      <c r="A37" t="s">
        <v>138</v>
      </c>
      <c r="B37" t="s">
        <v>139</v>
      </c>
      <c r="C37" t="s">
        <v>43</v>
      </c>
      <c r="D37" t="s">
        <v>27</v>
      </c>
      <c r="E37" s="2" t="s">
        <v>140</v>
      </c>
      <c r="F37">
        <v>36</v>
      </c>
      <c r="G37" t="s">
        <v>40</v>
      </c>
      <c r="H37" s="2" t="s">
        <v>2820</v>
      </c>
      <c r="J37" t="str">
        <f>IF(Table1[[#This Row],[Resolution_Date]]="NA","Unresolved","Resolved")</f>
        <v>Unresolved</v>
      </c>
      <c r="K37" t="str">
        <f>IF(Table1[[#This Row],[Resolution_Date]]="NA"," ",Table1[[#This Row],[Resolution_Date]]-Table1[[#This Row],[Complaint_Date]])</f>
        <v xml:space="preserve"> </v>
      </c>
      <c r="L37" t="str">
        <f>TEXT(Table1[[#This Row],[Complaint_Date]],"MMM")</f>
        <v>Nov</v>
      </c>
      <c r="M37" t="str">
        <f>IF(Table1[[#This Row],[Resolution_Time_Hours]]&lt;=24,"Fast",IF(Table1[[#This Row],[Resolution_Time_Hours]]&lt;=72,"Medium","Slow"))</f>
        <v>Medium</v>
      </c>
    </row>
    <row r="38" spans="1:13" x14ac:dyDescent="0.3">
      <c r="A38" t="s">
        <v>141</v>
      </c>
      <c r="B38" t="s">
        <v>142</v>
      </c>
      <c r="C38" t="s">
        <v>110</v>
      </c>
      <c r="D38" t="s">
        <v>18</v>
      </c>
      <c r="E38" s="2" t="s">
        <v>143</v>
      </c>
      <c r="F38">
        <v>13</v>
      </c>
      <c r="G38" t="s">
        <v>20</v>
      </c>
      <c r="H38" s="2" t="s">
        <v>143</v>
      </c>
      <c r="I38">
        <v>5</v>
      </c>
      <c r="J38" t="str">
        <f>IF(Table1[[#This Row],[Resolution_Date]]="NA","Unresolved","Resolved")</f>
        <v>Resolved</v>
      </c>
      <c r="K38">
        <f>IF(Table1[[#This Row],[Resolution_Date]]="NA"," ",Table1[[#This Row],[Resolution_Date]]-Table1[[#This Row],[Complaint_Date]])</f>
        <v>0</v>
      </c>
      <c r="L38" t="str">
        <f>TEXT(Table1[[#This Row],[Complaint_Date]],"MMM")</f>
        <v>Jan</v>
      </c>
      <c r="M38" t="str">
        <f>IF(Table1[[#This Row],[Resolution_Time_Hours]]&lt;=24,"Fast",IF(Table1[[#This Row],[Resolution_Time_Hours]]&lt;=72,"Medium","Slow"))</f>
        <v>Fast</v>
      </c>
    </row>
    <row r="39" spans="1:13" x14ac:dyDescent="0.3">
      <c r="A39" t="s">
        <v>144</v>
      </c>
      <c r="B39" t="s">
        <v>145</v>
      </c>
      <c r="C39" t="s">
        <v>34</v>
      </c>
      <c r="D39" t="s">
        <v>27</v>
      </c>
      <c r="E39" s="2" t="s">
        <v>146</v>
      </c>
      <c r="F39">
        <v>31</v>
      </c>
      <c r="G39" t="s">
        <v>20</v>
      </c>
      <c r="H39" s="2" t="s">
        <v>147</v>
      </c>
      <c r="I39">
        <v>2</v>
      </c>
      <c r="J39" t="str">
        <f>IF(Table1[[#This Row],[Resolution_Date]]="NA","Unresolved","Resolved")</f>
        <v>Resolved</v>
      </c>
      <c r="K39">
        <f>IF(Table1[[#This Row],[Resolution_Date]]="NA"," ",Table1[[#This Row],[Resolution_Date]]-Table1[[#This Row],[Complaint_Date]])</f>
        <v>1</v>
      </c>
      <c r="L39" t="str">
        <f>TEXT(Table1[[#This Row],[Complaint_Date]],"MMM")</f>
        <v>Aug</v>
      </c>
      <c r="M39" t="str">
        <f>IF(Table1[[#This Row],[Resolution_Time_Hours]]&lt;=24,"Fast",IF(Table1[[#This Row],[Resolution_Time_Hours]]&lt;=72,"Medium","Slow"))</f>
        <v>Medium</v>
      </c>
    </row>
    <row r="40" spans="1:13" x14ac:dyDescent="0.3">
      <c r="A40" t="s">
        <v>148</v>
      </c>
      <c r="B40" t="s">
        <v>149</v>
      </c>
      <c r="C40" t="s">
        <v>48</v>
      </c>
      <c r="D40" t="s">
        <v>18</v>
      </c>
      <c r="E40" s="2" t="s">
        <v>150</v>
      </c>
      <c r="F40">
        <v>64</v>
      </c>
      <c r="G40" t="s">
        <v>40</v>
      </c>
      <c r="H40" s="2" t="s">
        <v>2820</v>
      </c>
      <c r="J40" t="str">
        <f>IF(Table1[[#This Row],[Resolution_Date]]="NA","Unresolved","Resolved")</f>
        <v>Unresolved</v>
      </c>
      <c r="K40" t="str">
        <f>IF(Table1[[#This Row],[Resolution_Date]]="NA"," ",Table1[[#This Row],[Resolution_Date]]-Table1[[#This Row],[Complaint_Date]])</f>
        <v xml:space="preserve"> </v>
      </c>
      <c r="L40" t="str">
        <f>TEXT(Table1[[#This Row],[Complaint_Date]],"MMM")</f>
        <v>Feb</v>
      </c>
      <c r="M40" t="str">
        <f>IF(Table1[[#This Row],[Resolution_Time_Hours]]&lt;=24,"Fast",IF(Table1[[#This Row],[Resolution_Time_Hours]]&lt;=72,"Medium","Slow"))</f>
        <v>Medium</v>
      </c>
    </row>
    <row r="41" spans="1:13" x14ac:dyDescent="0.3">
      <c r="A41" t="s">
        <v>151</v>
      </c>
      <c r="B41" t="s">
        <v>152</v>
      </c>
      <c r="C41" t="s">
        <v>11</v>
      </c>
      <c r="D41" t="s">
        <v>38</v>
      </c>
      <c r="E41" s="2" t="s">
        <v>153</v>
      </c>
      <c r="F41">
        <v>22</v>
      </c>
      <c r="G41" t="s">
        <v>20</v>
      </c>
      <c r="H41" s="2" t="s">
        <v>153</v>
      </c>
      <c r="I41">
        <v>3</v>
      </c>
      <c r="J41" t="str">
        <f>IF(Table1[[#This Row],[Resolution_Date]]="NA","Unresolved","Resolved")</f>
        <v>Resolved</v>
      </c>
      <c r="K41">
        <f>IF(Table1[[#This Row],[Resolution_Date]]="NA"," ",Table1[[#This Row],[Resolution_Date]]-Table1[[#This Row],[Complaint_Date]])</f>
        <v>0</v>
      </c>
      <c r="L41" t="str">
        <f>TEXT(Table1[[#This Row],[Complaint_Date]],"MMM")</f>
        <v>Jun</v>
      </c>
      <c r="M41" t="str">
        <f>IF(Table1[[#This Row],[Resolution_Time_Hours]]&lt;=24,"Fast",IF(Table1[[#This Row],[Resolution_Time_Hours]]&lt;=72,"Medium","Slow"))</f>
        <v>Fast</v>
      </c>
    </row>
    <row r="42" spans="1:13" x14ac:dyDescent="0.3">
      <c r="A42" t="s">
        <v>154</v>
      </c>
      <c r="B42" t="s">
        <v>155</v>
      </c>
      <c r="C42" t="s">
        <v>70</v>
      </c>
      <c r="D42" t="s">
        <v>38</v>
      </c>
      <c r="E42" s="2" t="s">
        <v>156</v>
      </c>
      <c r="F42">
        <v>10</v>
      </c>
      <c r="G42" t="s">
        <v>14</v>
      </c>
      <c r="H42" s="2" t="s">
        <v>2820</v>
      </c>
      <c r="J42" t="str">
        <f>IF(Table1[[#This Row],[Resolution_Date]]="NA","Unresolved","Resolved")</f>
        <v>Unresolved</v>
      </c>
      <c r="K42" t="str">
        <f>IF(Table1[[#This Row],[Resolution_Date]]="NA"," ",Table1[[#This Row],[Resolution_Date]]-Table1[[#This Row],[Complaint_Date]])</f>
        <v xml:space="preserve"> </v>
      </c>
      <c r="L42" t="str">
        <f>TEXT(Table1[[#This Row],[Complaint_Date]],"MMM")</f>
        <v>Oct</v>
      </c>
      <c r="M42" t="str">
        <f>IF(Table1[[#This Row],[Resolution_Time_Hours]]&lt;=24,"Fast",IF(Table1[[#This Row],[Resolution_Time_Hours]]&lt;=72,"Medium","Slow"))</f>
        <v>Fast</v>
      </c>
    </row>
    <row r="43" spans="1:13" x14ac:dyDescent="0.3">
      <c r="A43" t="s">
        <v>157</v>
      </c>
      <c r="B43" t="s">
        <v>158</v>
      </c>
      <c r="C43" t="s">
        <v>48</v>
      </c>
      <c r="D43" t="s">
        <v>18</v>
      </c>
      <c r="E43" s="2" t="s">
        <v>159</v>
      </c>
      <c r="F43">
        <v>44</v>
      </c>
      <c r="G43" t="s">
        <v>20</v>
      </c>
      <c r="H43" s="2" t="s">
        <v>160</v>
      </c>
      <c r="I43">
        <v>2</v>
      </c>
      <c r="J43" t="str">
        <f>IF(Table1[[#This Row],[Resolution_Date]]="NA","Unresolved","Resolved")</f>
        <v>Resolved</v>
      </c>
      <c r="K43">
        <f>IF(Table1[[#This Row],[Resolution_Date]]="NA"," ",Table1[[#This Row],[Resolution_Date]]-Table1[[#This Row],[Complaint_Date]])</f>
        <v>1</v>
      </c>
      <c r="L43" t="str">
        <f>TEXT(Table1[[#This Row],[Complaint_Date]],"MMM")</f>
        <v>May</v>
      </c>
      <c r="M43" t="str">
        <f>IF(Table1[[#This Row],[Resolution_Time_Hours]]&lt;=24,"Fast",IF(Table1[[#This Row],[Resolution_Time_Hours]]&lt;=72,"Medium","Slow"))</f>
        <v>Medium</v>
      </c>
    </row>
    <row r="44" spans="1:13" x14ac:dyDescent="0.3">
      <c r="A44" t="s">
        <v>161</v>
      </c>
      <c r="B44" t="s">
        <v>162</v>
      </c>
      <c r="C44" t="s">
        <v>34</v>
      </c>
      <c r="D44" t="s">
        <v>27</v>
      </c>
      <c r="E44" s="2" t="s">
        <v>127</v>
      </c>
      <c r="F44">
        <v>69</v>
      </c>
      <c r="G44" t="s">
        <v>14</v>
      </c>
      <c r="H44" s="2" t="s">
        <v>2820</v>
      </c>
      <c r="J44" t="str">
        <f>IF(Table1[[#This Row],[Resolution_Date]]="NA","Unresolved","Resolved")</f>
        <v>Unresolved</v>
      </c>
      <c r="K44" t="str">
        <f>IF(Table1[[#This Row],[Resolution_Date]]="NA"," ",Table1[[#This Row],[Resolution_Date]]-Table1[[#This Row],[Complaint_Date]])</f>
        <v xml:space="preserve"> </v>
      </c>
      <c r="L44" t="str">
        <f>TEXT(Table1[[#This Row],[Complaint_Date]],"MMM")</f>
        <v>Aug</v>
      </c>
      <c r="M44" t="str">
        <f>IF(Table1[[#This Row],[Resolution_Time_Hours]]&lt;=24,"Fast",IF(Table1[[#This Row],[Resolution_Time_Hours]]&lt;=72,"Medium","Slow"))</f>
        <v>Medium</v>
      </c>
    </row>
    <row r="45" spans="1:13" x14ac:dyDescent="0.3">
      <c r="A45" t="s">
        <v>163</v>
      </c>
      <c r="B45" t="s">
        <v>164</v>
      </c>
      <c r="C45" t="s">
        <v>11</v>
      </c>
      <c r="D45" t="s">
        <v>38</v>
      </c>
      <c r="E45" s="2" t="s">
        <v>165</v>
      </c>
      <c r="F45">
        <v>23</v>
      </c>
      <c r="G45" t="s">
        <v>14</v>
      </c>
      <c r="H45" s="2" t="s">
        <v>2820</v>
      </c>
      <c r="J45" t="str">
        <f>IF(Table1[[#This Row],[Resolution_Date]]="NA","Unresolved","Resolved")</f>
        <v>Unresolved</v>
      </c>
      <c r="K45" t="str">
        <f>IF(Table1[[#This Row],[Resolution_Date]]="NA"," ",Table1[[#This Row],[Resolution_Date]]-Table1[[#This Row],[Complaint_Date]])</f>
        <v xml:space="preserve"> </v>
      </c>
      <c r="L45" t="str">
        <f>TEXT(Table1[[#This Row],[Complaint_Date]],"MMM")</f>
        <v>May</v>
      </c>
      <c r="M45" t="str">
        <f>IF(Table1[[#This Row],[Resolution_Time_Hours]]&lt;=24,"Fast",IF(Table1[[#This Row],[Resolution_Time_Hours]]&lt;=72,"Medium","Slow"))</f>
        <v>Fast</v>
      </c>
    </row>
    <row r="46" spans="1:13" x14ac:dyDescent="0.3">
      <c r="A46" t="s">
        <v>166</v>
      </c>
      <c r="B46" t="s">
        <v>167</v>
      </c>
      <c r="C46" t="s">
        <v>53</v>
      </c>
      <c r="D46" t="s">
        <v>95</v>
      </c>
      <c r="E46" s="2" t="s">
        <v>85</v>
      </c>
      <c r="F46">
        <v>10</v>
      </c>
      <c r="G46" t="s">
        <v>20</v>
      </c>
      <c r="H46" s="2" t="s">
        <v>85</v>
      </c>
      <c r="I46">
        <v>5</v>
      </c>
      <c r="J46" t="str">
        <f>IF(Table1[[#This Row],[Resolution_Date]]="NA","Unresolved","Resolved")</f>
        <v>Resolved</v>
      </c>
      <c r="K46">
        <f>IF(Table1[[#This Row],[Resolution_Date]]="NA"," ",Table1[[#This Row],[Resolution_Date]]-Table1[[#This Row],[Complaint_Date]])</f>
        <v>0</v>
      </c>
      <c r="L46" t="str">
        <f>TEXT(Table1[[#This Row],[Complaint_Date]],"MMM")</f>
        <v>Mar</v>
      </c>
      <c r="M46" t="str">
        <f>IF(Table1[[#This Row],[Resolution_Time_Hours]]&lt;=24,"Fast",IF(Table1[[#This Row],[Resolution_Time_Hours]]&lt;=72,"Medium","Slow"))</f>
        <v>Fast</v>
      </c>
    </row>
    <row r="47" spans="1:13" x14ac:dyDescent="0.3">
      <c r="A47" t="s">
        <v>168</v>
      </c>
      <c r="B47" t="s">
        <v>169</v>
      </c>
      <c r="C47" t="s">
        <v>53</v>
      </c>
      <c r="D47" t="s">
        <v>95</v>
      </c>
      <c r="E47" s="2" t="s">
        <v>170</v>
      </c>
      <c r="F47">
        <v>10</v>
      </c>
      <c r="G47" t="s">
        <v>20</v>
      </c>
      <c r="H47" s="2" t="s">
        <v>170</v>
      </c>
      <c r="I47">
        <v>4</v>
      </c>
      <c r="J47" t="str">
        <f>IF(Table1[[#This Row],[Resolution_Date]]="NA","Unresolved","Resolved")</f>
        <v>Resolved</v>
      </c>
      <c r="K47">
        <f>IF(Table1[[#This Row],[Resolution_Date]]="NA"," ",Table1[[#This Row],[Resolution_Date]]-Table1[[#This Row],[Complaint_Date]])</f>
        <v>0</v>
      </c>
      <c r="L47" t="str">
        <f>TEXT(Table1[[#This Row],[Complaint_Date]],"MMM")</f>
        <v>Aug</v>
      </c>
      <c r="M47" t="str">
        <f>IF(Table1[[#This Row],[Resolution_Time_Hours]]&lt;=24,"Fast",IF(Table1[[#This Row],[Resolution_Time_Hours]]&lt;=72,"Medium","Slow"))</f>
        <v>Fast</v>
      </c>
    </row>
    <row r="48" spans="1:13" x14ac:dyDescent="0.3">
      <c r="A48" t="s">
        <v>171</v>
      </c>
      <c r="B48" t="s">
        <v>172</v>
      </c>
      <c r="C48" t="s">
        <v>11</v>
      </c>
      <c r="D48" t="s">
        <v>95</v>
      </c>
      <c r="E48" s="2" t="s">
        <v>173</v>
      </c>
      <c r="F48">
        <v>6</v>
      </c>
      <c r="G48" t="s">
        <v>20</v>
      </c>
      <c r="H48" s="2" t="s">
        <v>173</v>
      </c>
      <c r="I48">
        <v>5</v>
      </c>
      <c r="J48" t="str">
        <f>IF(Table1[[#This Row],[Resolution_Date]]="NA","Unresolved","Resolved")</f>
        <v>Resolved</v>
      </c>
      <c r="K48">
        <f>IF(Table1[[#This Row],[Resolution_Date]]="NA"," ",Table1[[#This Row],[Resolution_Date]]-Table1[[#This Row],[Complaint_Date]])</f>
        <v>0</v>
      </c>
      <c r="L48" t="str">
        <f>TEXT(Table1[[#This Row],[Complaint_Date]],"MMM")</f>
        <v>Dec</v>
      </c>
      <c r="M48" t="str">
        <f>IF(Table1[[#This Row],[Resolution_Time_Hours]]&lt;=24,"Fast",IF(Table1[[#This Row],[Resolution_Time_Hours]]&lt;=72,"Medium","Slow"))</f>
        <v>Fast</v>
      </c>
    </row>
    <row r="49" spans="1:13" x14ac:dyDescent="0.3">
      <c r="A49" t="s">
        <v>174</v>
      </c>
      <c r="B49" t="s">
        <v>175</v>
      </c>
      <c r="C49" t="s">
        <v>53</v>
      </c>
      <c r="D49" t="s">
        <v>18</v>
      </c>
      <c r="E49" s="2" t="s">
        <v>176</v>
      </c>
      <c r="F49">
        <v>8</v>
      </c>
      <c r="G49" t="s">
        <v>20</v>
      </c>
      <c r="H49" s="2" t="s">
        <v>176</v>
      </c>
      <c r="I49">
        <v>4</v>
      </c>
      <c r="J49" t="str">
        <f>IF(Table1[[#This Row],[Resolution_Date]]="NA","Unresolved","Resolved")</f>
        <v>Resolved</v>
      </c>
      <c r="K49">
        <f>IF(Table1[[#This Row],[Resolution_Date]]="NA"," ",Table1[[#This Row],[Resolution_Date]]-Table1[[#This Row],[Complaint_Date]])</f>
        <v>0</v>
      </c>
      <c r="L49" t="str">
        <f>TEXT(Table1[[#This Row],[Complaint_Date]],"MMM")</f>
        <v>Aug</v>
      </c>
      <c r="M49" t="str">
        <f>IF(Table1[[#This Row],[Resolution_Time_Hours]]&lt;=24,"Fast",IF(Table1[[#This Row],[Resolution_Time_Hours]]&lt;=72,"Medium","Slow"))</f>
        <v>Fast</v>
      </c>
    </row>
    <row r="50" spans="1:13" x14ac:dyDescent="0.3">
      <c r="A50" t="s">
        <v>177</v>
      </c>
      <c r="B50" t="s">
        <v>178</v>
      </c>
      <c r="C50" t="s">
        <v>48</v>
      </c>
      <c r="D50" t="s">
        <v>18</v>
      </c>
      <c r="E50" s="2" t="s">
        <v>179</v>
      </c>
      <c r="F50">
        <v>51</v>
      </c>
      <c r="G50" t="s">
        <v>20</v>
      </c>
      <c r="H50" s="2" t="s">
        <v>180</v>
      </c>
      <c r="I50">
        <v>1</v>
      </c>
      <c r="J50" t="str">
        <f>IF(Table1[[#This Row],[Resolution_Date]]="NA","Unresolved","Resolved")</f>
        <v>Resolved</v>
      </c>
      <c r="K50">
        <f>IF(Table1[[#This Row],[Resolution_Date]]="NA"," ",Table1[[#This Row],[Resolution_Date]]-Table1[[#This Row],[Complaint_Date]])</f>
        <v>2</v>
      </c>
      <c r="L50" t="str">
        <f>TEXT(Table1[[#This Row],[Complaint_Date]],"MMM")</f>
        <v>Apr</v>
      </c>
      <c r="M50" t="str">
        <f>IF(Table1[[#This Row],[Resolution_Time_Hours]]&lt;=24,"Fast",IF(Table1[[#This Row],[Resolution_Time_Hours]]&lt;=72,"Medium","Slow"))</f>
        <v>Medium</v>
      </c>
    </row>
    <row r="51" spans="1:13" x14ac:dyDescent="0.3">
      <c r="A51" t="s">
        <v>181</v>
      </c>
      <c r="B51" t="s">
        <v>182</v>
      </c>
      <c r="C51" t="s">
        <v>70</v>
      </c>
      <c r="D51" t="s">
        <v>95</v>
      </c>
      <c r="E51" s="2" t="s">
        <v>183</v>
      </c>
      <c r="F51">
        <v>15</v>
      </c>
      <c r="G51" t="s">
        <v>20</v>
      </c>
      <c r="H51" s="2" t="s">
        <v>183</v>
      </c>
      <c r="I51">
        <v>3</v>
      </c>
      <c r="J51" t="str">
        <f>IF(Table1[[#This Row],[Resolution_Date]]="NA","Unresolved","Resolved")</f>
        <v>Resolved</v>
      </c>
      <c r="K51">
        <f>IF(Table1[[#This Row],[Resolution_Date]]="NA"," ",Table1[[#This Row],[Resolution_Date]]-Table1[[#This Row],[Complaint_Date]])</f>
        <v>0</v>
      </c>
      <c r="L51" t="str">
        <f>TEXT(Table1[[#This Row],[Complaint_Date]],"MMM")</f>
        <v>Feb</v>
      </c>
      <c r="M51" t="str">
        <f>IF(Table1[[#This Row],[Resolution_Time_Hours]]&lt;=24,"Fast",IF(Table1[[#This Row],[Resolution_Time_Hours]]&lt;=72,"Medium","Slow"))</f>
        <v>Fast</v>
      </c>
    </row>
    <row r="52" spans="1:13" x14ac:dyDescent="0.3">
      <c r="A52" t="s">
        <v>184</v>
      </c>
      <c r="B52" t="s">
        <v>185</v>
      </c>
      <c r="C52" t="s">
        <v>11</v>
      </c>
      <c r="D52" t="s">
        <v>38</v>
      </c>
      <c r="E52" s="2" t="s">
        <v>186</v>
      </c>
      <c r="F52">
        <v>15</v>
      </c>
      <c r="G52" t="s">
        <v>14</v>
      </c>
      <c r="H52" s="2" t="s">
        <v>2820</v>
      </c>
      <c r="J52" t="str">
        <f>IF(Table1[[#This Row],[Resolution_Date]]="NA","Unresolved","Resolved")</f>
        <v>Unresolved</v>
      </c>
      <c r="K52" t="str">
        <f>IF(Table1[[#This Row],[Resolution_Date]]="NA"," ",Table1[[#This Row],[Resolution_Date]]-Table1[[#This Row],[Complaint_Date]])</f>
        <v xml:space="preserve"> </v>
      </c>
      <c r="L52" t="str">
        <f>TEXT(Table1[[#This Row],[Complaint_Date]],"MMM")</f>
        <v>Dec</v>
      </c>
      <c r="M52" t="str">
        <f>IF(Table1[[#This Row],[Resolution_Time_Hours]]&lt;=24,"Fast",IF(Table1[[#This Row],[Resolution_Time_Hours]]&lt;=72,"Medium","Slow"))</f>
        <v>Fast</v>
      </c>
    </row>
    <row r="53" spans="1:13" x14ac:dyDescent="0.3">
      <c r="A53" t="s">
        <v>187</v>
      </c>
      <c r="B53" t="s">
        <v>188</v>
      </c>
      <c r="C53" t="s">
        <v>34</v>
      </c>
      <c r="D53" t="s">
        <v>95</v>
      </c>
      <c r="E53" s="2" t="s">
        <v>189</v>
      </c>
      <c r="F53">
        <v>65</v>
      </c>
      <c r="G53" t="s">
        <v>14</v>
      </c>
      <c r="H53" s="2" t="s">
        <v>2820</v>
      </c>
      <c r="J53" t="str">
        <f>IF(Table1[[#This Row],[Resolution_Date]]="NA","Unresolved","Resolved")</f>
        <v>Unresolved</v>
      </c>
      <c r="K53" t="str">
        <f>IF(Table1[[#This Row],[Resolution_Date]]="NA"," ",Table1[[#This Row],[Resolution_Date]]-Table1[[#This Row],[Complaint_Date]])</f>
        <v xml:space="preserve"> </v>
      </c>
      <c r="L53" t="str">
        <f>TEXT(Table1[[#This Row],[Complaint_Date]],"MMM")</f>
        <v>Feb</v>
      </c>
      <c r="M53" t="str">
        <f>IF(Table1[[#This Row],[Resolution_Time_Hours]]&lt;=24,"Fast",IF(Table1[[#This Row],[Resolution_Time_Hours]]&lt;=72,"Medium","Slow"))</f>
        <v>Medium</v>
      </c>
    </row>
    <row r="54" spans="1:13" x14ac:dyDescent="0.3">
      <c r="A54" t="s">
        <v>190</v>
      </c>
      <c r="B54" t="s">
        <v>191</v>
      </c>
      <c r="C54" t="s">
        <v>53</v>
      </c>
      <c r="D54" t="s">
        <v>12</v>
      </c>
      <c r="E54" s="2" t="s">
        <v>192</v>
      </c>
      <c r="F54">
        <v>6</v>
      </c>
      <c r="G54" t="s">
        <v>14</v>
      </c>
      <c r="H54" s="2" t="s">
        <v>2820</v>
      </c>
      <c r="J54" t="str">
        <f>IF(Table1[[#This Row],[Resolution_Date]]="NA","Unresolved","Resolved")</f>
        <v>Unresolved</v>
      </c>
      <c r="K54" t="str">
        <f>IF(Table1[[#This Row],[Resolution_Date]]="NA"," ",Table1[[#This Row],[Resolution_Date]]-Table1[[#This Row],[Complaint_Date]])</f>
        <v xml:space="preserve"> </v>
      </c>
      <c r="L54" t="str">
        <f>TEXT(Table1[[#This Row],[Complaint_Date]],"MMM")</f>
        <v>Nov</v>
      </c>
      <c r="M54" t="str">
        <f>IF(Table1[[#This Row],[Resolution_Time_Hours]]&lt;=24,"Fast",IF(Table1[[#This Row],[Resolution_Time_Hours]]&lt;=72,"Medium","Slow"))</f>
        <v>Fast</v>
      </c>
    </row>
    <row r="55" spans="1:13" x14ac:dyDescent="0.3">
      <c r="A55" t="s">
        <v>193</v>
      </c>
      <c r="B55" t="s">
        <v>194</v>
      </c>
      <c r="C55" t="s">
        <v>70</v>
      </c>
      <c r="D55" t="s">
        <v>27</v>
      </c>
      <c r="E55" s="2" t="s">
        <v>195</v>
      </c>
      <c r="F55">
        <v>13</v>
      </c>
      <c r="G55" t="s">
        <v>20</v>
      </c>
      <c r="H55" s="2" t="s">
        <v>195</v>
      </c>
      <c r="I55">
        <v>3</v>
      </c>
      <c r="J55" t="str">
        <f>IF(Table1[[#This Row],[Resolution_Date]]="NA","Unresolved","Resolved")</f>
        <v>Resolved</v>
      </c>
      <c r="K55">
        <f>IF(Table1[[#This Row],[Resolution_Date]]="NA"," ",Table1[[#This Row],[Resolution_Date]]-Table1[[#This Row],[Complaint_Date]])</f>
        <v>0</v>
      </c>
      <c r="L55" t="str">
        <f>TEXT(Table1[[#This Row],[Complaint_Date]],"MMM")</f>
        <v>Aug</v>
      </c>
      <c r="M55" t="str">
        <f>IF(Table1[[#This Row],[Resolution_Time_Hours]]&lt;=24,"Fast",IF(Table1[[#This Row],[Resolution_Time_Hours]]&lt;=72,"Medium","Slow"))</f>
        <v>Fast</v>
      </c>
    </row>
    <row r="56" spans="1:13" x14ac:dyDescent="0.3">
      <c r="A56" t="s">
        <v>196</v>
      </c>
      <c r="B56" t="s">
        <v>197</v>
      </c>
      <c r="C56" t="s">
        <v>11</v>
      </c>
      <c r="D56" t="s">
        <v>12</v>
      </c>
      <c r="E56" s="2" t="s">
        <v>198</v>
      </c>
      <c r="F56">
        <v>14</v>
      </c>
      <c r="G56" t="s">
        <v>40</v>
      </c>
      <c r="H56" s="2" t="s">
        <v>2820</v>
      </c>
      <c r="J56" t="str">
        <f>IF(Table1[[#This Row],[Resolution_Date]]="NA","Unresolved","Resolved")</f>
        <v>Unresolved</v>
      </c>
      <c r="K56" t="str">
        <f>IF(Table1[[#This Row],[Resolution_Date]]="NA"," ",Table1[[#This Row],[Resolution_Date]]-Table1[[#This Row],[Complaint_Date]])</f>
        <v xml:space="preserve"> </v>
      </c>
      <c r="L56" t="str">
        <f>TEXT(Table1[[#This Row],[Complaint_Date]],"MMM")</f>
        <v>Jul</v>
      </c>
      <c r="M56" t="str">
        <f>IF(Table1[[#This Row],[Resolution_Time_Hours]]&lt;=24,"Fast",IF(Table1[[#This Row],[Resolution_Time_Hours]]&lt;=72,"Medium","Slow"))</f>
        <v>Fast</v>
      </c>
    </row>
    <row r="57" spans="1:13" x14ac:dyDescent="0.3">
      <c r="A57" t="s">
        <v>199</v>
      </c>
      <c r="B57" t="s">
        <v>200</v>
      </c>
      <c r="C57" t="s">
        <v>110</v>
      </c>
      <c r="D57" t="s">
        <v>12</v>
      </c>
      <c r="E57" s="2" t="s">
        <v>201</v>
      </c>
      <c r="F57">
        <v>21</v>
      </c>
      <c r="G57" t="s">
        <v>14</v>
      </c>
      <c r="H57" s="2" t="s">
        <v>2820</v>
      </c>
      <c r="J57" t="str">
        <f>IF(Table1[[#This Row],[Resolution_Date]]="NA","Unresolved","Resolved")</f>
        <v>Unresolved</v>
      </c>
      <c r="K57" t="str">
        <f>IF(Table1[[#This Row],[Resolution_Date]]="NA"," ",Table1[[#This Row],[Resolution_Date]]-Table1[[#This Row],[Complaint_Date]])</f>
        <v xml:space="preserve"> </v>
      </c>
      <c r="L57" t="str">
        <f>TEXT(Table1[[#This Row],[Complaint_Date]],"MMM")</f>
        <v>Aug</v>
      </c>
      <c r="M57" t="str">
        <f>IF(Table1[[#This Row],[Resolution_Time_Hours]]&lt;=24,"Fast",IF(Table1[[#This Row],[Resolution_Time_Hours]]&lt;=72,"Medium","Slow"))</f>
        <v>Fast</v>
      </c>
    </row>
    <row r="58" spans="1:13" x14ac:dyDescent="0.3">
      <c r="A58" t="s">
        <v>202</v>
      </c>
      <c r="B58" t="s">
        <v>203</v>
      </c>
      <c r="C58" t="s">
        <v>34</v>
      </c>
      <c r="D58" t="s">
        <v>38</v>
      </c>
      <c r="E58" s="2" t="s">
        <v>204</v>
      </c>
      <c r="F58">
        <v>95</v>
      </c>
      <c r="G58" t="s">
        <v>20</v>
      </c>
      <c r="H58" s="2" t="s">
        <v>205</v>
      </c>
      <c r="I58">
        <v>1</v>
      </c>
      <c r="J58" t="str">
        <f>IF(Table1[[#This Row],[Resolution_Date]]="NA","Unresolved","Resolved")</f>
        <v>Resolved</v>
      </c>
      <c r="K58">
        <f>IF(Table1[[#This Row],[Resolution_Date]]="NA"," ",Table1[[#This Row],[Resolution_Date]]-Table1[[#This Row],[Complaint_Date]])</f>
        <v>3</v>
      </c>
      <c r="L58" t="str">
        <f>TEXT(Table1[[#This Row],[Complaint_Date]],"MMM")</f>
        <v>Aug</v>
      </c>
      <c r="M58" t="str">
        <f>IF(Table1[[#This Row],[Resolution_Time_Hours]]&lt;=24,"Fast",IF(Table1[[#This Row],[Resolution_Time_Hours]]&lt;=72,"Medium","Slow"))</f>
        <v>Slow</v>
      </c>
    </row>
    <row r="59" spans="1:13" x14ac:dyDescent="0.3">
      <c r="A59" t="s">
        <v>206</v>
      </c>
      <c r="B59" t="s">
        <v>207</v>
      </c>
      <c r="C59" t="s">
        <v>48</v>
      </c>
      <c r="D59" t="s">
        <v>18</v>
      </c>
      <c r="E59" s="2" t="s">
        <v>208</v>
      </c>
      <c r="F59">
        <v>72</v>
      </c>
      <c r="G59" t="s">
        <v>20</v>
      </c>
      <c r="H59" s="2" t="s">
        <v>143</v>
      </c>
      <c r="I59">
        <v>1</v>
      </c>
      <c r="J59" t="str">
        <f>IF(Table1[[#This Row],[Resolution_Date]]="NA","Unresolved","Resolved")</f>
        <v>Resolved</v>
      </c>
      <c r="K59">
        <f>IF(Table1[[#This Row],[Resolution_Date]]="NA"," ",Table1[[#This Row],[Resolution_Date]]-Table1[[#This Row],[Complaint_Date]])</f>
        <v>3</v>
      </c>
      <c r="L59" t="str">
        <f>TEXT(Table1[[#This Row],[Complaint_Date]],"MMM")</f>
        <v>Jan</v>
      </c>
      <c r="M59" t="str">
        <f>IF(Table1[[#This Row],[Resolution_Time_Hours]]&lt;=24,"Fast",IF(Table1[[#This Row],[Resolution_Time_Hours]]&lt;=72,"Medium","Slow"))</f>
        <v>Medium</v>
      </c>
    </row>
    <row r="60" spans="1:13" x14ac:dyDescent="0.3">
      <c r="A60" t="s">
        <v>209</v>
      </c>
      <c r="B60" t="s">
        <v>210</v>
      </c>
      <c r="C60" t="s">
        <v>53</v>
      </c>
      <c r="D60" t="s">
        <v>12</v>
      </c>
      <c r="E60" s="2" t="s">
        <v>211</v>
      </c>
      <c r="F60">
        <v>6</v>
      </c>
      <c r="G60" t="s">
        <v>14</v>
      </c>
      <c r="H60" s="2" t="s">
        <v>2820</v>
      </c>
      <c r="J60" t="str">
        <f>IF(Table1[[#This Row],[Resolution_Date]]="NA","Unresolved","Resolved")</f>
        <v>Unresolved</v>
      </c>
      <c r="K60" t="str">
        <f>IF(Table1[[#This Row],[Resolution_Date]]="NA"," ",Table1[[#This Row],[Resolution_Date]]-Table1[[#This Row],[Complaint_Date]])</f>
        <v xml:space="preserve"> </v>
      </c>
      <c r="L60" t="str">
        <f>TEXT(Table1[[#This Row],[Complaint_Date]],"MMM")</f>
        <v>Dec</v>
      </c>
      <c r="M60" t="str">
        <f>IF(Table1[[#This Row],[Resolution_Time_Hours]]&lt;=24,"Fast",IF(Table1[[#This Row],[Resolution_Time_Hours]]&lt;=72,"Medium","Slow"))</f>
        <v>Fast</v>
      </c>
    </row>
    <row r="61" spans="1:13" x14ac:dyDescent="0.3">
      <c r="A61" t="s">
        <v>212</v>
      </c>
      <c r="B61" t="s">
        <v>213</v>
      </c>
      <c r="C61" t="s">
        <v>34</v>
      </c>
      <c r="D61" t="s">
        <v>95</v>
      </c>
      <c r="E61" s="2" t="s">
        <v>160</v>
      </c>
      <c r="F61">
        <v>72</v>
      </c>
      <c r="G61" t="s">
        <v>20</v>
      </c>
      <c r="H61" s="2" t="s">
        <v>214</v>
      </c>
      <c r="I61">
        <v>1</v>
      </c>
      <c r="J61" t="str">
        <f>IF(Table1[[#This Row],[Resolution_Date]]="NA","Unresolved","Resolved")</f>
        <v>Resolved</v>
      </c>
      <c r="K61">
        <f>IF(Table1[[#This Row],[Resolution_Date]]="NA"," ",Table1[[#This Row],[Resolution_Date]]-Table1[[#This Row],[Complaint_Date]])</f>
        <v>3</v>
      </c>
      <c r="L61" t="str">
        <f>TEXT(Table1[[#This Row],[Complaint_Date]],"MMM")</f>
        <v>May</v>
      </c>
      <c r="M61" t="str">
        <f>IF(Table1[[#This Row],[Resolution_Time_Hours]]&lt;=24,"Fast",IF(Table1[[#This Row],[Resolution_Time_Hours]]&lt;=72,"Medium","Slow"))</f>
        <v>Medium</v>
      </c>
    </row>
    <row r="62" spans="1:13" x14ac:dyDescent="0.3">
      <c r="A62" t="s">
        <v>215</v>
      </c>
      <c r="B62" t="s">
        <v>216</v>
      </c>
      <c r="C62" t="s">
        <v>43</v>
      </c>
      <c r="D62" t="s">
        <v>18</v>
      </c>
      <c r="E62" s="2" t="s">
        <v>217</v>
      </c>
      <c r="F62">
        <v>43</v>
      </c>
      <c r="G62" t="s">
        <v>14</v>
      </c>
      <c r="H62" s="2" t="s">
        <v>2820</v>
      </c>
      <c r="J62" t="str">
        <f>IF(Table1[[#This Row],[Resolution_Date]]="NA","Unresolved","Resolved")</f>
        <v>Unresolved</v>
      </c>
      <c r="K62" t="str">
        <f>IF(Table1[[#This Row],[Resolution_Date]]="NA"," ",Table1[[#This Row],[Resolution_Date]]-Table1[[#This Row],[Complaint_Date]])</f>
        <v xml:space="preserve"> </v>
      </c>
      <c r="L62" t="str">
        <f>TEXT(Table1[[#This Row],[Complaint_Date]],"MMM")</f>
        <v>Dec</v>
      </c>
      <c r="M62" t="str">
        <f>IF(Table1[[#This Row],[Resolution_Time_Hours]]&lt;=24,"Fast",IF(Table1[[#This Row],[Resolution_Time_Hours]]&lt;=72,"Medium","Slow"))</f>
        <v>Medium</v>
      </c>
    </row>
    <row r="63" spans="1:13" x14ac:dyDescent="0.3">
      <c r="A63" t="s">
        <v>218</v>
      </c>
      <c r="B63" t="s">
        <v>219</v>
      </c>
      <c r="C63" t="s">
        <v>11</v>
      </c>
      <c r="D63" t="s">
        <v>27</v>
      </c>
      <c r="E63" s="2" t="s">
        <v>220</v>
      </c>
      <c r="F63">
        <v>5</v>
      </c>
      <c r="G63" t="s">
        <v>20</v>
      </c>
      <c r="H63" s="2" t="s">
        <v>220</v>
      </c>
      <c r="I63">
        <v>5</v>
      </c>
      <c r="J63" t="str">
        <f>IF(Table1[[#This Row],[Resolution_Date]]="NA","Unresolved","Resolved")</f>
        <v>Resolved</v>
      </c>
      <c r="K63">
        <f>IF(Table1[[#This Row],[Resolution_Date]]="NA"," ",Table1[[#This Row],[Resolution_Date]]-Table1[[#This Row],[Complaint_Date]])</f>
        <v>0</v>
      </c>
      <c r="L63" t="str">
        <f>TEXT(Table1[[#This Row],[Complaint_Date]],"MMM")</f>
        <v>Jul</v>
      </c>
      <c r="M63" t="str">
        <f>IF(Table1[[#This Row],[Resolution_Time_Hours]]&lt;=24,"Fast",IF(Table1[[#This Row],[Resolution_Time_Hours]]&lt;=72,"Medium","Slow"))</f>
        <v>Fast</v>
      </c>
    </row>
    <row r="64" spans="1:13" x14ac:dyDescent="0.3">
      <c r="A64" t="s">
        <v>221</v>
      </c>
      <c r="B64" t="s">
        <v>222</v>
      </c>
      <c r="C64" t="s">
        <v>34</v>
      </c>
      <c r="D64" t="s">
        <v>38</v>
      </c>
      <c r="E64" s="2" t="s">
        <v>223</v>
      </c>
      <c r="F64">
        <v>87</v>
      </c>
      <c r="G64" t="s">
        <v>20</v>
      </c>
      <c r="H64" s="2" t="s">
        <v>224</v>
      </c>
      <c r="I64">
        <v>5</v>
      </c>
      <c r="J64" t="str">
        <f>IF(Table1[[#This Row],[Resolution_Date]]="NA","Unresolved","Resolved")</f>
        <v>Resolved</v>
      </c>
      <c r="K64">
        <f>IF(Table1[[#This Row],[Resolution_Date]]="NA"," ",Table1[[#This Row],[Resolution_Date]]-Table1[[#This Row],[Complaint_Date]])</f>
        <v>3</v>
      </c>
      <c r="L64" t="str">
        <f>TEXT(Table1[[#This Row],[Complaint_Date]],"MMM")</f>
        <v>Dec</v>
      </c>
      <c r="M64" t="str">
        <f>IF(Table1[[#This Row],[Resolution_Time_Hours]]&lt;=24,"Fast",IF(Table1[[#This Row],[Resolution_Time_Hours]]&lt;=72,"Medium","Slow"))</f>
        <v>Slow</v>
      </c>
    </row>
    <row r="65" spans="1:13" x14ac:dyDescent="0.3">
      <c r="A65" t="s">
        <v>225</v>
      </c>
      <c r="B65" t="s">
        <v>226</v>
      </c>
      <c r="C65" t="s">
        <v>34</v>
      </c>
      <c r="D65" t="s">
        <v>27</v>
      </c>
      <c r="E65" s="2" t="s">
        <v>227</v>
      </c>
      <c r="F65">
        <v>35</v>
      </c>
      <c r="G65" t="s">
        <v>20</v>
      </c>
      <c r="H65" s="2" t="s">
        <v>228</v>
      </c>
      <c r="I65">
        <v>5</v>
      </c>
      <c r="J65" t="str">
        <f>IF(Table1[[#This Row],[Resolution_Date]]="NA","Unresolved","Resolved")</f>
        <v>Resolved</v>
      </c>
      <c r="K65">
        <f>IF(Table1[[#This Row],[Resolution_Date]]="NA"," ",Table1[[#This Row],[Resolution_Date]]-Table1[[#This Row],[Complaint_Date]])</f>
        <v>1</v>
      </c>
      <c r="L65" t="str">
        <f>TEXT(Table1[[#This Row],[Complaint_Date]],"MMM")</f>
        <v>Apr</v>
      </c>
      <c r="M65" t="str">
        <f>IF(Table1[[#This Row],[Resolution_Time_Hours]]&lt;=24,"Fast",IF(Table1[[#This Row],[Resolution_Time_Hours]]&lt;=72,"Medium","Slow"))</f>
        <v>Medium</v>
      </c>
    </row>
    <row r="66" spans="1:13" x14ac:dyDescent="0.3">
      <c r="A66" t="s">
        <v>229</v>
      </c>
      <c r="B66" t="s">
        <v>230</v>
      </c>
      <c r="C66" t="s">
        <v>70</v>
      </c>
      <c r="D66" t="s">
        <v>38</v>
      </c>
      <c r="E66" s="2" t="s">
        <v>153</v>
      </c>
      <c r="F66">
        <v>12</v>
      </c>
      <c r="G66" t="s">
        <v>14</v>
      </c>
      <c r="H66" s="2" t="s">
        <v>2820</v>
      </c>
      <c r="J66" t="str">
        <f>IF(Table1[[#This Row],[Resolution_Date]]="NA","Unresolved","Resolved")</f>
        <v>Unresolved</v>
      </c>
      <c r="K66" t="str">
        <f>IF(Table1[[#This Row],[Resolution_Date]]="NA"," ",Table1[[#This Row],[Resolution_Date]]-Table1[[#This Row],[Complaint_Date]])</f>
        <v xml:space="preserve"> </v>
      </c>
      <c r="L66" t="str">
        <f>TEXT(Table1[[#This Row],[Complaint_Date]],"MMM")</f>
        <v>Jun</v>
      </c>
      <c r="M66" t="str">
        <f>IF(Table1[[#This Row],[Resolution_Time_Hours]]&lt;=24,"Fast",IF(Table1[[#This Row],[Resolution_Time_Hours]]&lt;=72,"Medium","Slow"))</f>
        <v>Fast</v>
      </c>
    </row>
    <row r="67" spans="1:13" x14ac:dyDescent="0.3">
      <c r="A67" t="s">
        <v>231</v>
      </c>
      <c r="B67" t="s">
        <v>232</v>
      </c>
      <c r="C67" t="s">
        <v>53</v>
      </c>
      <c r="D67" t="s">
        <v>12</v>
      </c>
      <c r="E67" s="2" t="s">
        <v>233</v>
      </c>
      <c r="F67">
        <v>11</v>
      </c>
      <c r="G67" t="s">
        <v>20</v>
      </c>
      <c r="H67" s="2" t="s">
        <v>233</v>
      </c>
      <c r="I67">
        <v>4</v>
      </c>
      <c r="J67" t="str">
        <f>IF(Table1[[#This Row],[Resolution_Date]]="NA","Unresolved","Resolved")</f>
        <v>Resolved</v>
      </c>
      <c r="K67">
        <f>IF(Table1[[#This Row],[Resolution_Date]]="NA"," ",Table1[[#This Row],[Resolution_Date]]-Table1[[#This Row],[Complaint_Date]])</f>
        <v>0</v>
      </c>
      <c r="L67" t="str">
        <f>TEXT(Table1[[#This Row],[Complaint_Date]],"MMM")</f>
        <v>Apr</v>
      </c>
      <c r="M67" t="str">
        <f>IF(Table1[[#This Row],[Resolution_Time_Hours]]&lt;=24,"Fast",IF(Table1[[#This Row],[Resolution_Time_Hours]]&lt;=72,"Medium","Slow"))</f>
        <v>Fast</v>
      </c>
    </row>
    <row r="68" spans="1:13" x14ac:dyDescent="0.3">
      <c r="A68" t="s">
        <v>234</v>
      </c>
      <c r="B68" t="s">
        <v>235</v>
      </c>
      <c r="C68" t="s">
        <v>34</v>
      </c>
      <c r="D68" t="s">
        <v>95</v>
      </c>
      <c r="E68" s="2" t="s">
        <v>173</v>
      </c>
      <c r="F68">
        <v>30</v>
      </c>
      <c r="G68" t="s">
        <v>20</v>
      </c>
      <c r="H68" s="2" t="s">
        <v>217</v>
      </c>
      <c r="I68">
        <v>2</v>
      </c>
      <c r="J68" t="str">
        <f>IF(Table1[[#This Row],[Resolution_Date]]="NA","Unresolved","Resolved")</f>
        <v>Resolved</v>
      </c>
      <c r="K68">
        <f>IF(Table1[[#This Row],[Resolution_Date]]="NA"," ",Table1[[#This Row],[Resolution_Date]]-Table1[[#This Row],[Complaint_Date]])</f>
        <v>1</v>
      </c>
      <c r="L68" t="str">
        <f>TEXT(Table1[[#This Row],[Complaint_Date]],"MMM")</f>
        <v>Dec</v>
      </c>
      <c r="M68" t="str">
        <f>IF(Table1[[#This Row],[Resolution_Time_Hours]]&lt;=24,"Fast",IF(Table1[[#This Row],[Resolution_Time_Hours]]&lt;=72,"Medium","Slow"))</f>
        <v>Medium</v>
      </c>
    </row>
    <row r="69" spans="1:13" x14ac:dyDescent="0.3">
      <c r="A69" t="s">
        <v>236</v>
      </c>
      <c r="B69" t="s">
        <v>237</v>
      </c>
      <c r="C69" t="s">
        <v>43</v>
      </c>
      <c r="D69" t="s">
        <v>27</v>
      </c>
      <c r="E69" s="2" t="s">
        <v>140</v>
      </c>
      <c r="F69">
        <v>53</v>
      </c>
      <c r="G69" t="s">
        <v>40</v>
      </c>
      <c r="H69" s="2" t="s">
        <v>2820</v>
      </c>
      <c r="J69" t="str">
        <f>IF(Table1[[#This Row],[Resolution_Date]]="NA","Unresolved","Resolved")</f>
        <v>Unresolved</v>
      </c>
      <c r="K69" t="str">
        <f>IF(Table1[[#This Row],[Resolution_Date]]="NA"," ",Table1[[#This Row],[Resolution_Date]]-Table1[[#This Row],[Complaint_Date]])</f>
        <v xml:space="preserve"> </v>
      </c>
      <c r="L69" t="str">
        <f>TEXT(Table1[[#This Row],[Complaint_Date]],"MMM")</f>
        <v>Nov</v>
      </c>
      <c r="M69" t="str">
        <f>IF(Table1[[#This Row],[Resolution_Time_Hours]]&lt;=24,"Fast",IF(Table1[[#This Row],[Resolution_Time_Hours]]&lt;=72,"Medium","Slow"))</f>
        <v>Medium</v>
      </c>
    </row>
    <row r="70" spans="1:13" x14ac:dyDescent="0.3">
      <c r="A70" t="s">
        <v>238</v>
      </c>
      <c r="B70" t="s">
        <v>239</v>
      </c>
      <c r="C70" t="s">
        <v>17</v>
      </c>
      <c r="D70" t="s">
        <v>27</v>
      </c>
      <c r="E70" s="2" t="s">
        <v>240</v>
      </c>
      <c r="F70">
        <v>28</v>
      </c>
      <c r="G70" t="s">
        <v>20</v>
      </c>
      <c r="H70" s="2" t="s">
        <v>241</v>
      </c>
      <c r="I70">
        <v>2</v>
      </c>
      <c r="J70" t="str">
        <f>IF(Table1[[#This Row],[Resolution_Date]]="NA","Unresolved","Resolved")</f>
        <v>Resolved</v>
      </c>
      <c r="K70">
        <f>IF(Table1[[#This Row],[Resolution_Date]]="NA"," ",Table1[[#This Row],[Resolution_Date]]-Table1[[#This Row],[Complaint_Date]])</f>
        <v>1</v>
      </c>
      <c r="L70" t="str">
        <f>TEXT(Table1[[#This Row],[Complaint_Date]],"MMM")</f>
        <v>Jun</v>
      </c>
      <c r="M70" t="str">
        <f>IF(Table1[[#This Row],[Resolution_Time_Hours]]&lt;=24,"Fast",IF(Table1[[#This Row],[Resolution_Time_Hours]]&lt;=72,"Medium","Slow"))</f>
        <v>Medium</v>
      </c>
    </row>
    <row r="71" spans="1:13" x14ac:dyDescent="0.3">
      <c r="A71" t="s">
        <v>242</v>
      </c>
      <c r="B71" t="s">
        <v>243</v>
      </c>
      <c r="C71" t="s">
        <v>48</v>
      </c>
      <c r="D71" t="s">
        <v>27</v>
      </c>
      <c r="E71" s="2" t="s">
        <v>244</v>
      </c>
      <c r="F71">
        <v>38</v>
      </c>
      <c r="G71" t="s">
        <v>20</v>
      </c>
      <c r="H71" s="2" t="s">
        <v>28</v>
      </c>
      <c r="I71">
        <v>2</v>
      </c>
      <c r="J71" t="str">
        <f>IF(Table1[[#This Row],[Resolution_Date]]="NA","Unresolved","Resolved")</f>
        <v>Resolved</v>
      </c>
      <c r="K71">
        <f>IF(Table1[[#This Row],[Resolution_Date]]="NA"," ",Table1[[#This Row],[Resolution_Date]]-Table1[[#This Row],[Complaint_Date]])</f>
        <v>1</v>
      </c>
      <c r="L71" t="str">
        <f>TEXT(Table1[[#This Row],[Complaint_Date]],"MMM")</f>
        <v>May</v>
      </c>
      <c r="M71" t="str">
        <f>IF(Table1[[#This Row],[Resolution_Time_Hours]]&lt;=24,"Fast",IF(Table1[[#This Row],[Resolution_Time_Hours]]&lt;=72,"Medium","Slow"))</f>
        <v>Medium</v>
      </c>
    </row>
    <row r="72" spans="1:13" x14ac:dyDescent="0.3">
      <c r="A72" t="s">
        <v>245</v>
      </c>
      <c r="B72" t="s">
        <v>246</v>
      </c>
      <c r="C72" t="s">
        <v>53</v>
      </c>
      <c r="D72" t="s">
        <v>38</v>
      </c>
      <c r="E72" s="2" t="s">
        <v>247</v>
      </c>
      <c r="F72">
        <v>10</v>
      </c>
      <c r="G72" t="s">
        <v>14</v>
      </c>
      <c r="H72" s="2" t="s">
        <v>2820</v>
      </c>
      <c r="J72" t="str">
        <f>IF(Table1[[#This Row],[Resolution_Date]]="NA","Unresolved","Resolved")</f>
        <v>Unresolved</v>
      </c>
      <c r="K72" t="str">
        <f>IF(Table1[[#This Row],[Resolution_Date]]="NA"," ",Table1[[#This Row],[Resolution_Date]]-Table1[[#This Row],[Complaint_Date]])</f>
        <v xml:space="preserve"> </v>
      </c>
      <c r="L72" t="str">
        <f>TEXT(Table1[[#This Row],[Complaint_Date]],"MMM")</f>
        <v>Jan</v>
      </c>
      <c r="M72" t="str">
        <f>IF(Table1[[#This Row],[Resolution_Time_Hours]]&lt;=24,"Fast",IF(Table1[[#This Row],[Resolution_Time_Hours]]&lt;=72,"Medium","Slow"))</f>
        <v>Fast</v>
      </c>
    </row>
    <row r="73" spans="1:13" x14ac:dyDescent="0.3">
      <c r="A73" t="s">
        <v>248</v>
      </c>
      <c r="B73" t="s">
        <v>249</v>
      </c>
      <c r="C73" t="s">
        <v>17</v>
      </c>
      <c r="D73" t="s">
        <v>95</v>
      </c>
      <c r="E73" s="2" t="s">
        <v>250</v>
      </c>
      <c r="F73">
        <v>28</v>
      </c>
      <c r="G73" t="s">
        <v>14</v>
      </c>
      <c r="H73" s="2" t="s">
        <v>2820</v>
      </c>
      <c r="J73" t="str">
        <f>IF(Table1[[#This Row],[Resolution_Date]]="NA","Unresolved","Resolved")</f>
        <v>Unresolved</v>
      </c>
      <c r="K73" t="str">
        <f>IF(Table1[[#This Row],[Resolution_Date]]="NA"," ",Table1[[#This Row],[Resolution_Date]]-Table1[[#This Row],[Complaint_Date]])</f>
        <v xml:space="preserve"> </v>
      </c>
      <c r="L73" t="str">
        <f>TEXT(Table1[[#This Row],[Complaint_Date]],"MMM")</f>
        <v>Feb</v>
      </c>
      <c r="M73" t="str">
        <f>IF(Table1[[#This Row],[Resolution_Time_Hours]]&lt;=24,"Fast",IF(Table1[[#This Row],[Resolution_Time_Hours]]&lt;=72,"Medium","Slow"))</f>
        <v>Medium</v>
      </c>
    </row>
    <row r="74" spans="1:13" x14ac:dyDescent="0.3">
      <c r="A74" t="s">
        <v>251</v>
      </c>
      <c r="B74" t="s">
        <v>252</v>
      </c>
      <c r="C74" t="s">
        <v>53</v>
      </c>
      <c r="D74" t="s">
        <v>18</v>
      </c>
      <c r="E74" s="2" t="s">
        <v>204</v>
      </c>
      <c r="F74">
        <v>8</v>
      </c>
      <c r="G74" t="s">
        <v>20</v>
      </c>
      <c r="H74" s="2" t="s">
        <v>204</v>
      </c>
      <c r="I74">
        <v>4</v>
      </c>
      <c r="J74" t="str">
        <f>IF(Table1[[#This Row],[Resolution_Date]]="NA","Unresolved","Resolved")</f>
        <v>Resolved</v>
      </c>
      <c r="K74">
        <f>IF(Table1[[#This Row],[Resolution_Date]]="NA"," ",Table1[[#This Row],[Resolution_Date]]-Table1[[#This Row],[Complaint_Date]])</f>
        <v>0</v>
      </c>
      <c r="L74" t="str">
        <f>TEXT(Table1[[#This Row],[Complaint_Date]],"MMM")</f>
        <v>Aug</v>
      </c>
      <c r="M74" t="str">
        <f>IF(Table1[[#This Row],[Resolution_Time_Hours]]&lt;=24,"Fast",IF(Table1[[#This Row],[Resolution_Time_Hours]]&lt;=72,"Medium","Slow"))</f>
        <v>Fast</v>
      </c>
    </row>
    <row r="75" spans="1:13" x14ac:dyDescent="0.3">
      <c r="A75" t="s">
        <v>253</v>
      </c>
      <c r="B75" t="s">
        <v>254</v>
      </c>
      <c r="C75" t="s">
        <v>48</v>
      </c>
      <c r="D75" t="s">
        <v>38</v>
      </c>
      <c r="E75" s="2" t="s">
        <v>255</v>
      </c>
      <c r="F75">
        <v>35</v>
      </c>
      <c r="G75" t="s">
        <v>20</v>
      </c>
      <c r="H75" s="2" t="s">
        <v>256</v>
      </c>
      <c r="I75">
        <v>5</v>
      </c>
      <c r="J75" t="str">
        <f>IF(Table1[[#This Row],[Resolution_Date]]="NA","Unresolved","Resolved")</f>
        <v>Resolved</v>
      </c>
      <c r="K75">
        <f>IF(Table1[[#This Row],[Resolution_Date]]="NA"," ",Table1[[#This Row],[Resolution_Date]]-Table1[[#This Row],[Complaint_Date]])</f>
        <v>1</v>
      </c>
      <c r="L75" t="str">
        <f>TEXT(Table1[[#This Row],[Complaint_Date]],"MMM")</f>
        <v>Feb</v>
      </c>
      <c r="M75" t="str">
        <f>IF(Table1[[#This Row],[Resolution_Time_Hours]]&lt;=24,"Fast",IF(Table1[[#This Row],[Resolution_Time_Hours]]&lt;=72,"Medium","Slow"))</f>
        <v>Medium</v>
      </c>
    </row>
    <row r="76" spans="1:13" x14ac:dyDescent="0.3">
      <c r="A76" t="s">
        <v>257</v>
      </c>
      <c r="B76" t="s">
        <v>258</v>
      </c>
      <c r="C76" t="s">
        <v>110</v>
      </c>
      <c r="D76" t="s">
        <v>38</v>
      </c>
      <c r="E76" s="2" t="s">
        <v>153</v>
      </c>
      <c r="F76">
        <v>10</v>
      </c>
      <c r="G76" t="s">
        <v>20</v>
      </c>
      <c r="H76" s="2" t="s">
        <v>153</v>
      </c>
      <c r="I76">
        <v>4</v>
      </c>
      <c r="J76" t="str">
        <f>IF(Table1[[#This Row],[Resolution_Date]]="NA","Unresolved","Resolved")</f>
        <v>Resolved</v>
      </c>
      <c r="K76">
        <f>IF(Table1[[#This Row],[Resolution_Date]]="NA"," ",Table1[[#This Row],[Resolution_Date]]-Table1[[#This Row],[Complaint_Date]])</f>
        <v>0</v>
      </c>
      <c r="L76" t="str">
        <f>TEXT(Table1[[#This Row],[Complaint_Date]],"MMM")</f>
        <v>Jun</v>
      </c>
      <c r="M76" t="str">
        <f>IF(Table1[[#This Row],[Resolution_Time_Hours]]&lt;=24,"Fast",IF(Table1[[#This Row],[Resolution_Time_Hours]]&lt;=72,"Medium","Slow"))</f>
        <v>Fast</v>
      </c>
    </row>
    <row r="77" spans="1:13" x14ac:dyDescent="0.3">
      <c r="A77" t="s">
        <v>259</v>
      </c>
      <c r="B77" t="s">
        <v>260</v>
      </c>
      <c r="C77" t="s">
        <v>11</v>
      </c>
      <c r="D77" t="s">
        <v>38</v>
      </c>
      <c r="E77" s="2" t="s">
        <v>261</v>
      </c>
      <c r="F77">
        <v>46</v>
      </c>
      <c r="G77" t="s">
        <v>14</v>
      </c>
      <c r="H77" s="2" t="s">
        <v>2820</v>
      </c>
      <c r="J77" t="str">
        <f>IF(Table1[[#This Row],[Resolution_Date]]="NA","Unresolved","Resolved")</f>
        <v>Unresolved</v>
      </c>
      <c r="K77" t="str">
        <f>IF(Table1[[#This Row],[Resolution_Date]]="NA"," ",Table1[[#This Row],[Resolution_Date]]-Table1[[#This Row],[Complaint_Date]])</f>
        <v xml:space="preserve"> </v>
      </c>
      <c r="L77" t="str">
        <f>TEXT(Table1[[#This Row],[Complaint_Date]],"MMM")</f>
        <v>Mar</v>
      </c>
      <c r="M77" t="str">
        <f>IF(Table1[[#This Row],[Resolution_Time_Hours]]&lt;=24,"Fast",IF(Table1[[#This Row],[Resolution_Time_Hours]]&lt;=72,"Medium","Slow"))</f>
        <v>Medium</v>
      </c>
    </row>
    <row r="78" spans="1:13" x14ac:dyDescent="0.3">
      <c r="A78" t="s">
        <v>262</v>
      </c>
      <c r="B78" t="s">
        <v>263</v>
      </c>
      <c r="C78" t="s">
        <v>17</v>
      </c>
      <c r="D78" t="s">
        <v>95</v>
      </c>
      <c r="E78" s="2" t="s">
        <v>264</v>
      </c>
      <c r="F78">
        <v>9</v>
      </c>
      <c r="G78" t="s">
        <v>20</v>
      </c>
      <c r="H78" s="2" t="s">
        <v>264</v>
      </c>
      <c r="I78">
        <v>4</v>
      </c>
      <c r="J78" t="str">
        <f>IF(Table1[[#This Row],[Resolution_Date]]="NA","Unresolved","Resolved")</f>
        <v>Resolved</v>
      </c>
      <c r="K78">
        <f>IF(Table1[[#This Row],[Resolution_Date]]="NA"," ",Table1[[#This Row],[Resolution_Date]]-Table1[[#This Row],[Complaint_Date]])</f>
        <v>0</v>
      </c>
      <c r="L78" t="str">
        <f>TEXT(Table1[[#This Row],[Complaint_Date]],"MMM")</f>
        <v>May</v>
      </c>
      <c r="M78" t="str">
        <f>IF(Table1[[#This Row],[Resolution_Time_Hours]]&lt;=24,"Fast",IF(Table1[[#This Row],[Resolution_Time_Hours]]&lt;=72,"Medium","Slow"))</f>
        <v>Fast</v>
      </c>
    </row>
    <row r="79" spans="1:13" x14ac:dyDescent="0.3">
      <c r="A79" t="s">
        <v>265</v>
      </c>
      <c r="B79" t="s">
        <v>266</v>
      </c>
      <c r="C79" t="s">
        <v>17</v>
      </c>
      <c r="D79" t="s">
        <v>27</v>
      </c>
      <c r="E79" s="2" t="s">
        <v>267</v>
      </c>
      <c r="F79">
        <v>6</v>
      </c>
      <c r="G79" t="s">
        <v>20</v>
      </c>
      <c r="H79" s="2" t="s">
        <v>267</v>
      </c>
      <c r="I79">
        <v>5</v>
      </c>
      <c r="J79" t="str">
        <f>IF(Table1[[#This Row],[Resolution_Date]]="NA","Unresolved","Resolved")</f>
        <v>Resolved</v>
      </c>
      <c r="K79">
        <f>IF(Table1[[#This Row],[Resolution_Date]]="NA"," ",Table1[[#This Row],[Resolution_Date]]-Table1[[#This Row],[Complaint_Date]])</f>
        <v>0</v>
      </c>
      <c r="L79" t="str">
        <f>TEXT(Table1[[#This Row],[Complaint_Date]],"MMM")</f>
        <v>Jan</v>
      </c>
      <c r="M79" t="str">
        <f>IF(Table1[[#This Row],[Resolution_Time_Hours]]&lt;=24,"Fast",IF(Table1[[#This Row],[Resolution_Time_Hours]]&lt;=72,"Medium","Slow"))</f>
        <v>Fast</v>
      </c>
    </row>
    <row r="80" spans="1:13" x14ac:dyDescent="0.3">
      <c r="A80" t="s">
        <v>268</v>
      </c>
      <c r="B80" t="s">
        <v>269</v>
      </c>
      <c r="C80" t="s">
        <v>53</v>
      </c>
      <c r="D80" t="s">
        <v>27</v>
      </c>
      <c r="E80" s="2" t="s">
        <v>270</v>
      </c>
      <c r="F80">
        <v>8</v>
      </c>
      <c r="G80" t="s">
        <v>20</v>
      </c>
      <c r="H80" s="2" t="s">
        <v>270</v>
      </c>
      <c r="I80">
        <v>4</v>
      </c>
      <c r="J80" t="str">
        <f>IF(Table1[[#This Row],[Resolution_Date]]="NA","Unresolved","Resolved")</f>
        <v>Resolved</v>
      </c>
      <c r="K80">
        <f>IF(Table1[[#This Row],[Resolution_Date]]="NA"," ",Table1[[#This Row],[Resolution_Date]]-Table1[[#This Row],[Complaint_Date]])</f>
        <v>0</v>
      </c>
      <c r="L80" t="str">
        <f>TEXT(Table1[[#This Row],[Complaint_Date]],"MMM")</f>
        <v>Apr</v>
      </c>
      <c r="M80" t="str">
        <f>IF(Table1[[#This Row],[Resolution_Time_Hours]]&lt;=24,"Fast",IF(Table1[[#This Row],[Resolution_Time_Hours]]&lt;=72,"Medium","Slow"))</f>
        <v>Fast</v>
      </c>
    </row>
    <row r="81" spans="1:13" x14ac:dyDescent="0.3">
      <c r="A81" t="s">
        <v>271</v>
      </c>
      <c r="B81" t="s">
        <v>272</v>
      </c>
      <c r="C81" t="s">
        <v>34</v>
      </c>
      <c r="D81" t="s">
        <v>38</v>
      </c>
      <c r="E81" s="2" t="s">
        <v>273</v>
      </c>
      <c r="F81">
        <v>64</v>
      </c>
      <c r="G81" t="s">
        <v>20</v>
      </c>
      <c r="H81" s="2" t="s">
        <v>274</v>
      </c>
      <c r="I81">
        <v>1</v>
      </c>
      <c r="J81" t="str">
        <f>IF(Table1[[#This Row],[Resolution_Date]]="NA","Unresolved","Resolved")</f>
        <v>Resolved</v>
      </c>
      <c r="K81">
        <f>IF(Table1[[#This Row],[Resolution_Date]]="NA"," ",Table1[[#This Row],[Resolution_Date]]-Table1[[#This Row],[Complaint_Date]])</f>
        <v>2</v>
      </c>
      <c r="L81" t="str">
        <f>TEXT(Table1[[#This Row],[Complaint_Date]],"MMM")</f>
        <v>Nov</v>
      </c>
      <c r="M81" t="str">
        <f>IF(Table1[[#This Row],[Resolution_Time_Hours]]&lt;=24,"Fast",IF(Table1[[#This Row],[Resolution_Time_Hours]]&lt;=72,"Medium","Slow"))</f>
        <v>Medium</v>
      </c>
    </row>
    <row r="82" spans="1:13" x14ac:dyDescent="0.3">
      <c r="A82" t="s">
        <v>275</v>
      </c>
      <c r="B82" t="s">
        <v>276</v>
      </c>
      <c r="C82" t="s">
        <v>17</v>
      </c>
      <c r="D82" t="s">
        <v>95</v>
      </c>
      <c r="E82" s="2" t="s">
        <v>277</v>
      </c>
      <c r="F82">
        <v>10</v>
      </c>
      <c r="G82" t="s">
        <v>14</v>
      </c>
      <c r="H82" s="2" t="s">
        <v>2820</v>
      </c>
      <c r="J82" t="str">
        <f>IF(Table1[[#This Row],[Resolution_Date]]="NA","Unresolved","Resolved")</f>
        <v>Unresolved</v>
      </c>
      <c r="K82" t="str">
        <f>IF(Table1[[#This Row],[Resolution_Date]]="NA"," ",Table1[[#This Row],[Resolution_Date]]-Table1[[#This Row],[Complaint_Date]])</f>
        <v xml:space="preserve"> </v>
      </c>
      <c r="L82" t="str">
        <f>TEXT(Table1[[#This Row],[Complaint_Date]],"MMM")</f>
        <v>Dec</v>
      </c>
      <c r="M82" t="str">
        <f>IF(Table1[[#This Row],[Resolution_Time_Hours]]&lt;=24,"Fast",IF(Table1[[#This Row],[Resolution_Time_Hours]]&lt;=72,"Medium","Slow"))</f>
        <v>Fast</v>
      </c>
    </row>
    <row r="83" spans="1:13" x14ac:dyDescent="0.3">
      <c r="A83" t="s">
        <v>278</v>
      </c>
      <c r="B83" t="s">
        <v>279</v>
      </c>
      <c r="C83" t="s">
        <v>48</v>
      </c>
      <c r="D83" t="s">
        <v>95</v>
      </c>
      <c r="E83" s="2" t="s">
        <v>280</v>
      </c>
      <c r="F83">
        <v>58</v>
      </c>
      <c r="G83" t="s">
        <v>14</v>
      </c>
      <c r="H83" s="2" t="s">
        <v>2820</v>
      </c>
      <c r="J83" t="str">
        <f>IF(Table1[[#This Row],[Resolution_Date]]="NA","Unresolved","Resolved")</f>
        <v>Unresolved</v>
      </c>
      <c r="K83" t="str">
        <f>IF(Table1[[#This Row],[Resolution_Date]]="NA"," ",Table1[[#This Row],[Resolution_Date]]-Table1[[#This Row],[Complaint_Date]])</f>
        <v xml:space="preserve"> </v>
      </c>
      <c r="L83" t="str">
        <f>TEXT(Table1[[#This Row],[Complaint_Date]],"MMM")</f>
        <v>Oct</v>
      </c>
      <c r="M83" t="str">
        <f>IF(Table1[[#This Row],[Resolution_Time_Hours]]&lt;=24,"Fast",IF(Table1[[#This Row],[Resolution_Time_Hours]]&lt;=72,"Medium","Slow"))</f>
        <v>Medium</v>
      </c>
    </row>
    <row r="84" spans="1:13" x14ac:dyDescent="0.3">
      <c r="A84" t="s">
        <v>281</v>
      </c>
      <c r="B84" t="s">
        <v>282</v>
      </c>
      <c r="C84" t="s">
        <v>43</v>
      </c>
      <c r="D84" t="s">
        <v>18</v>
      </c>
      <c r="E84" s="2" t="s">
        <v>283</v>
      </c>
      <c r="F84">
        <v>41</v>
      </c>
      <c r="G84" t="s">
        <v>20</v>
      </c>
      <c r="H84" s="2" t="s">
        <v>284</v>
      </c>
      <c r="I84">
        <v>5</v>
      </c>
      <c r="J84" t="str">
        <f>IF(Table1[[#This Row],[Resolution_Date]]="NA","Unresolved","Resolved")</f>
        <v>Resolved</v>
      </c>
      <c r="K84">
        <f>IF(Table1[[#This Row],[Resolution_Date]]="NA"," ",Table1[[#This Row],[Resolution_Date]]-Table1[[#This Row],[Complaint_Date]])</f>
        <v>1</v>
      </c>
      <c r="L84" t="str">
        <f>TEXT(Table1[[#This Row],[Complaint_Date]],"MMM")</f>
        <v>Nov</v>
      </c>
      <c r="M84" t="str">
        <f>IF(Table1[[#This Row],[Resolution_Time_Hours]]&lt;=24,"Fast",IF(Table1[[#This Row],[Resolution_Time_Hours]]&lt;=72,"Medium","Slow"))</f>
        <v>Medium</v>
      </c>
    </row>
    <row r="85" spans="1:13" x14ac:dyDescent="0.3">
      <c r="A85" t="s">
        <v>285</v>
      </c>
      <c r="B85" t="s">
        <v>286</v>
      </c>
      <c r="C85" t="s">
        <v>70</v>
      </c>
      <c r="D85" t="s">
        <v>95</v>
      </c>
      <c r="E85" s="2" t="s">
        <v>287</v>
      </c>
      <c r="F85">
        <v>20</v>
      </c>
      <c r="G85" t="s">
        <v>20</v>
      </c>
      <c r="H85" s="2" t="s">
        <v>287</v>
      </c>
      <c r="I85">
        <v>3</v>
      </c>
      <c r="J85" t="str">
        <f>IF(Table1[[#This Row],[Resolution_Date]]="NA","Unresolved","Resolved")</f>
        <v>Resolved</v>
      </c>
      <c r="K85">
        <f>IF(Table1[[#This Row],[Resolution_Date]]="NA"," ",Table1[[#This Row],[Resolution_Date]]-Table1[[#This Row],[Complaint_Date]])</f>
        <v>0</v>
      </c>
      <c r="L85" t="str">
        <f>TEXT(Table1[[#This Row],[Complaint_Date]],"MMM")</f>
        <v>Dec</v>
      </c>
      <c r="M85" t="str">
        <f>IF(Table1[[#This Row],[Resolution_Time_Hours]]&lt;=24,"Fast",IF(Table1[[#This Row],[Resolution_Time_Hours]]&lt;=72,"Medium","Slow"))</f>
        <v>Fast</v>
      </c>
    </row>
    <row r="86" spans="1:13" x14ac:dyDescent="0.3">
      <c r="A86" t="s">
        <v>288</v>
      </c>
      <c r="B86" t="s">
        <v>289</v>
      </c>
      <c r="C86" t="s">
        <v>11</v>
      </c>
      <c r="D86" t="s">
        <v>38</v>
      </c>
      <c r="E86" s="2" t="s">
        <v>71</v>
      </c>
      <c r="F86">
        <v>28</v>
      </c>
      <c r="G86" t="s">
        <v>40</v>
      </c>
      <c r="H86" s="2" t="s">
        <v>2820</v>
      </c>
      <c r="J86" t="str">
        <f>IF(Table1[[#This Row],[Resolution_Date]]="NA","Unresolved","Resolved")</f>
        <v>Unresolved</v>
      </c>
      <c r="K86" t="str">
        <f>IF(Table1[[#This Row],[Resolution_Date]]="NA"," ",Table1[[#This Row],[Resolution_Date]]-Table1[[#This Row],[Complaint_Date]])</f>
        <v xml:space="preserve"> </v>
      </c>
      <c r="L86" t="str">
        <f>TEXT(Table1[[#This Row],[Complaint_Date]],"MMM")</f>
        <v>Jul</v>
      </c>
      <c r="M86" t="str">
        <f>IF(Table1[[#This Row],[Resolution_Time_Hours]]&lt;=24,"Fast",IF(Table1[[#This Row],[Resolution_Time_Hours]]&lt;=72,"Medium","Slow"))</f>
        <v>Medium</v>
      </c>
    </row>
    <row r="87" spans="1:13" x14ac:dyDescent="0.3">
      <c r="A87" t="s">
        <v>290</v>
      </c>
      <c r="B87" t="s">
        <v>291</v>
      </c>
      <c r="C87" t="s">
        <v>11</v>
      </c>
      <c r="D87" t="s">
        <v>18</v>
      </c>
      <c r="E87" s="2" t="s">
        <v>292</v>
      </c>
      <c r="F87">
        <v>45</v>
      </c>
      <c r="G87" t="s">
        <v>20</v>
      </c>
      <c r="H87" s="2" t="s">
        <v>293</v>
      </c>
      <c r="I87">
        <v>2</v>
      </c>
      <c r="J87" t="str">
        <f>IF(Table1[[#This Row],[Resolution_Date]]="NA","Unresolved","Resolved")</f>
        <v>Resolved</v>
      </c>
      <c r="K87">
        <f>IF(Table1[[#This Row],[Resolution_Date]]="NA"," ",Table1[[#This Row],[Resolution_Date]]-Table1[[#This Row],[Complaint_Date]])</f>
        <v>1</v>
      </c>
      <c r="L87" t="str">
        <f>TEXT(Table1[[#This Row],[Complaint_Date]],"MMM")</f>
        <v>Oct</v>
      </c>
      <c r="M87" t="str">
        <f>IF(Table1[[#This Row],[Resolution_Time_Hours]]&lt;=24,"Fast",IF(Table1[[#This Row],[Resolution_Time_Hours]]&lt;=72,"Medium","Slow"))</f>
        <v>Medium</v>
      </c>
    </row>
    <row r="88" spans="1:13" x14ac:dyDescent="0.3">
      <c r="A88" t="s">
        <v>294</v>
      </c>
      <c r="B88" t="s">
        <v>295</v>
      </c>
      <c r="C88" t="s">
        <v>53</v>
      </c>
      <c r="D88" t="s">
        <v>95</v>
      </c>
      <c r="E88" s="2" t="s">
        <v>296</v>
      </c>
      <c r="F88">
        <v>7</v>
      </c>
      <c r="G88" t="s">
        <v>40</v>
      </c>
      <c r="H88" s="2" t="s">
        <v>2820</v>
      </c>
      <c r="J88" t="str">
        <f>IF(Table1[[#This Row],[Resolution_Date]]="NA","Unresolved","Resolved")</f>
        <v>Unresolved</v>
      </c>
      <c r="K88" t="str">
        <f>IF(Table1[[#This Row],[Resolution_Date]]="NA"," ",Table1[[#This Row],[Resolution_Date]]-Table1[[#This Row],[Complaint_Date]])</f>
        <v xml:space="preserve"> </v>
      </c>
      <c r="L88" t="str">
        <f>TEXT(Table1[[#This Row],[Complaint_Date]],"MMM")</f>
        <v>Mar</v>
      </c>
      <c r="M88" t="str">
        <f>IF(Table1[[#This Row],[Resolution_Time_Hours]]&lt;=24,"Fast",IF(Table1[[#This Row],[Resolution_Time_Hours]]&lt;=72,"Medium","Slow"))</f>
        <v>Fast</v>
      </c>
    </row>
    <row r="89" spans="1:13" x14ac:dyDescent="0.3">
      <c r="A89" t="s">
        <v>297</v>
      </c>
      <c r="B89" t="s">
        <v>298</v>
      </c>
      <c r="C89" t="s">
        <v>48</v>
      </c>
      <c r="D89" t="s">
        <v>95</v>
      </c>
      <c r="E89" s="2" t="s">
        <v>299</v>
      </c>
      <c r="F89">
        <v>41</v>
      </c>
      <c r="G89" t="s">
        <v>14</v>
      </c>
      <c r="H89" s="2" t="s">
        <v>2820</v>
      </c>
      <c r="J89" t="str">
        <f>IF(Table1[[#This Row],[Resolution_Date]]="NA","Unresolved","Resolved")</f>
        <v>Unresolved</v>
      </c>
      <c r="K89" t="str">
        <f>IF(Table1[[#This Row],[Resolution_Date]]="NA"," ",Table1[[#This Row],[Resolution_Date]]-Table1[[#This Row],[Complaint_Date]])</f>
        <v xml:space="preserve"> </v>
      </c>
      <c r="L89" t="str">
        <f>TEXT(Table1[[#This Row],[Complaint_Date]],"MMM")</f>
        <v>Mar</v>
      </c>
      <c r="M89" t="str">
        <f>IF(Table1[[#This Row],[Resolution_Time_Hours]]&lt;=24,"Fast",IF(Table1[[#This Row],[Resolution_Time_Hours]]&lt;=72,"Medium","Slow"))</f>
        <v>Medium</v>
      </c>
    </row>
    <row r="90" spans="1:13" x14ac:dyDescent="0.3">
      <c r="A90" t="s">
        <v>300</v>
      </c>
      <c r="B90" t="s">
        <v>301</v>
      </c>
      <c r="C90" t="s">
        <v>53</v>
      </c>
      <c r="D90" t="s">
        <v>12</v>
      </c>
      <c r="E90" s="2" t="s">
        <v>130</v>
      </c>
      <c r="F90">
        <v>8</v>
      </c>
      <c r="G90" t="s">
        <v>20</v>
      </c>
      <c r="H90" s="2" t="s">
        <v>130</v>
      </c>
      <c r="I90">
        <v>4</v>
      </c>
      <c r="J90" t="str">
        <f>IF(Table1[[#This Row],[Resolution_Date]]="NA","Unresolved","Resolved")</f>
        <v>Resolved</v>
      </c>
      <c r="K90">
        <f>IF(Table1[[#This Row],[Resolution_Date]]="NA"," ",Table1[[#This Row],[Resolution_Date]]-Table1[[#This Row],[Complaint_Date]])</f>
        <v>0</v>
      </c>
      <c r="L90" t="str">
        <f>TEXT(Table1[[#This Row],[Complaint_Date]],"MMM")</f>
        <v>Feb</v>
      </c>
      <c r="M90" t="str">
        <f>IF(Table1[[#This Row],[Resolution_Time_Hours]]&lt;=24,"Fast",IF(Table1[[#This Row],[Resolution_Time_Hours]]&lt;=72,"Medium","Slow"))</f>
        <v>Fast</v>
      </c>
    </row>
    <row r="91" spans="1:13" x14ac:dyDescent="0.3">
      <c r="A91" t="s">
        <v>302</v>
      </c>
      <c r="B91" t="s">
        <v>303</v>
      </c>
      <c r="C91" t="s">
        <v>53</v>
      </c>
      <c r="D91" t="s">
        <v>38</v>
      </c>
      <c r="E91" s="2" t="s">
        <v>250</v>
      </c>
      <c r="F91">
        <v>3</v>
      </c>
      <c r="G91" t="s">
        <v>40</v>
      </c>
      <c r="H91" s="2" t="s">
        <v>2820</v>
      </c>
      <c r="J91" t="str">
        <f>IF(Table1[[#This Row],[Resolution_Date]]="NA","Unresolved","Resolved")</f>
        <v>Unresolved</v>
      </c>
      <c r="K91" t="str">
        <f>IF(Table1[[#This Row],[Resolution_Date]]="NA"," ",Table1[[#This Row],[Resolution_Date]]-Table1[[#This Row],[Complaint_Date]])</f>
        <v xml:space="preserve"> </v>
      </c>
      <c r="L91" t="str">
        <f>TEXT(Table1[[#This Row],[Complaint_Date]],"MMM")</f>
        <v>Feb</v>
      </c>
      <c r="M91" t="str">
        <f>IF(Table1[[#This Row],[Resolution_Time_Hours]]&lt;=24,"Fast",IF(Table1[[#This Row],[Resolution_Time_Hours]]&lt;=72,"Medium","Slow"))</f>
        <v>Fast</v>
      </c>
    </row>
    <row r="92" spans="1:13" x14ac:dyDescent="0.3">
      <c r="A92" t="s">
        <v>304</v>
      </c>
      <c r="B92" t="s">
        <v>305</v>
      </c>
      <c r="C92" t="s">
        <v>53</v>
      </c>
      <c r="D92" t="s">
        <v>18</v>
      </c>
      <c r="E92" s="2" t="s">
        <v>146</v>
      </c>
      <c r="F92">
        <v>10</v>
      </c>
      <c r="G92" t="s">
        <v>40</v>
      </c>
      <c r="H92" s="2" t="s">
        <v>2820</v>
      </c>
      <c r="J92" t="str">
        <f>IF(Table1[[#This Row],[Resolution_Date]]="NA","Unresolved","Resolved")</f>
        <v>Unresolved</v>
      </c>
      <c r="K92" t="str">
        <f>IF(Table1[[#This Row],[Resolution_Date]]="NA"," ",Table1[[#This Row],[Resolution_Date]]-Table1[[#This Row],[Complaint_Date]])</f>
        <v xml:space="preserve"> </v>
      </c>
      <c r="L92" t="str">
        <f>TEXT(Table1[[#This Row],[Complaint_Date]],"MMM")</f>
        <v>Aug</v>
      </c>
      <c r="M92" t="str">
        <f>IF(Table1[[#This Row],[Resolution_Time_Hours]]&lt;=24,"Fast",IF(Table1[[#This Row],[Resolution_Time_Hours]]&lt;=72,"Medium","Slow"))</f>
        <v>Fast</v>
      </c>
    </row>
    <row r="93" spans="1:13" x14ac:dyDescent="0.3">
      <c r="A93" t="s">
        <v>306</v>
      </c>
      <c r="B93" t="s">
        <v>307</v>
      </c>
      <c r="C93" t="s">
        <v>53</v>
      </c>
      <c r="D93" t="s">
        <v>95</v>
      </c>
      <c r="E93" s="2" t="s">
        <v>308</v>
      </c>
      <c r="F93">
        <v>6</v>
      </c>
      <c r="G93" t="s">
        <v>20</v>
      </c>
      <c r="H93" s="2" t="s">
        <v>308</v>
      </c>
      <c r="I93">
        <v>5</v>
      </c>
      <c r="J93" t="str">
        <f>IF(Table1[[#This Row],[Resolution_Date]]="NA","Unresolved","Resolved")</f>
        <v>Resolved</v>
      </c>
      <c r="K93">
        <f>IF(Table1[[#This Row],[Resolution_Date]]="NA"," ",Table1[[#This Row],[Resolution_Date]]-Table1[[#This Row],[Complaint_Date]])</f>
        <v>0</v>
      </c>
      <c r="L93" t="str">
        <f>TEXT(Table1[[#This Row],[Complaint_Date]],"MMM")</f>
        <v>Jun</v>
      </c>
      <c r="M93" t="str">
        <f>IF(Table1[[#This Row],[Resolution_Time_Hours]]&lt;=24,"Fast",IF(Table1[[#This Row],[Resolution_Time_Hours]]&lt;=72,"Medium","Slow"))</f>
        <v>Fast</v>
      </c>
    </row>
    <row r="94" spans="1:13" x14ac:dyDescent="0.3">
      <c r="A94" t="s">
        <v>309</v>
      </c>
      <c r="B94" t="s">
        <v>310</v>
      </c>
      <c r="C94" t="s">
        <v>110</v>
      </c>
      <c r="D94" t="s">
        <v>38</v>
      </c>
      <c r="E94" s="2" t="s">
        <v>35</v>
      </c>
      <c r="F94">
        <v>11</v>
      </c>
      <c r="G94" t="s">
        <v>20</v>
      </c>
      <c r="H94" s="2" t="s">
        <v>35</v>
      </c>
      <c r="I94">
        <v>5</v>
      </c>
      <c r="J94" t="str">
        <f>IF(Table1[[#This Row],[Resolution_Date]]="NA","Unresolved","Resolved")</f>
        <v>Resolved</v>
      </c>
      <c r="K94">
        <f>IF(Table1[[#This Row],[Resolution_Date]]="NA"," ",Table1[[#This Row],[Resolution_Date]]-Table1[[#This Row],[Complaint_Date]])</f>
        <v>0</v>
      </c>
      <c r="L94" t="str">
        <f>TEXT(Table1[[#This Row],[Complaint_Date]],"MMM")</f>
        <v>Dec</v>
      </c>
      <c r="M94" t="str">
        <f>IF(Table1[[#This Row],[Resolution_Time_Hours]]&lt;=24,"Fast",IF(Table1[[#This Row],[Resolution_Time_Hours]]&lt;=72,"Medium","Slow"))</f>
        <v>Fast</v>
      </c>
    </row>
    <row r="95" spans="1:13" x14ac:dyDescent="0.3">
      <c r="A95" t="s">
        <v>311</v>
      </c>
      <c r="B95" t="s">
        <v>312</v>
      </c>
      <c r="C95" t="s">
        <v>70</v>
      </c>
      <c r="D95" t="s">
        <v>95</v>
      </c>
      <c r="E95" s="2" t="s">
        <v>313</v>
      </c>
      <c r="F95">
        <v>23</v>
      </c>
      <c r="G95" t="s">
        <v>20</v>
      </c>
      <c r="H95" s="2" t="s">
        <v>313</v>
      </c>
      <c r="I95">
        <v>3</v>
      </c>
      <c r="J95" t="str">
        <f>IF(Table1[[#This Row],[Resolution_Date]]="NA","Unresolved","Resolved")</f>
        <v>Resolved</v>
      </c>
      <c r="K95">
        <f>IF(Table1[[#This Row],[Resolution_Date]]="NA"," ",Table1[[#This Row],[Resolution_Date]]-Table1[[#This Row],[Complaint_Date]])</f>
        <v>0</v>
      </c>
      <c r="L95" t="str">
        <f>TEXT(Table1[[#This Row],[Complaint_Date]],"MMM")</f>
        <v>May</v>
      </c>
      <c r="M95" t="str">
        <f>IF(Table1[[#This Row],[Resolution_Time_Hours]]&lt;=24,"Fast",IF(Table1[[#This Row],[Resolution_Time_Hours]]&lt;=72,"Medium","Slow"))</f>
        <v>Fast</v>
      </c>
    </row>
    <row r="96" spans="1:13" x14ac:dyDescent="0.3">
      <c r="A96" t="s">
        <v>314</v>
      </c>
      <c r="B96" t="s">
        <v>315</v>
      </c>
      <c r="C96" t="s">
        <v>53</v>
      </c>
      <c r="D96" t="s">
        <v>27</v>
      </c>
      <c r="E96" s="2" t="s">
        <v>54</v>
      </c>
      <c r="F96">
        <v>10</v>
      </c>
      <c r="G96" t="s">
        <v>20</v>
      </c>
      <c r="H96" s="2" t="s">
        <v>54</v>
      </c>
      <c r="I96">
        <v>4</v>
      </c>
      <c r="J96" t="str">
        <f>IF(Table1[[#This Row],[Resolution_Date]]="NA","Unresolved","Resolved")</f>
        <v>Resolved</v>
      </c>
      <c r="K96">
        <f>IF(Table1[[#This Row],[Resolution_Date]]="NA"," ",Table1[[#This Row],[Resolution_Date]]-Table1[[#This Row],[Complaint_Date]])</f>
        <v>0</v>
      </c>
      <c r="L96" t="str">
        <f>TEXT(Table1[[#This Row],[Complaint_Date]],"MMM")</f>
        <v>Mar</v>
      </c>
      <c r="M96" t="str">
        <f>IF(Table1[[#This Row],[Resolution_Time_Hours]]&lt;=24,"Fast",IF(Table1[[#This Row],[Resolution_Time_Hours]]&lt;=72,"Medium","Slow"))</f>
        <v>Fast</v>
      </c>
    </row>
    <row r="97" spans="1:13" x14ac:dyDescent="0.3">
      <c r="A97" t="s">
        <v>316</v>
      </c>
      <c r="B97" t="s">
        <v>317</v>
      </c>
      <c r="C97" t="s">
        <v>43</v>
      </c>
      <c r="D97" t="s">
        <v>12</v>
      </c>
      <c r="E97" s="2" t="s">
        <v>318</v>
      </c>
      <c r="F97">
        <v>29</v>
      </c>
      <c r="G97" t="s">
        <v>14</v>
      </c>
      <c r="H97" s="2" t="s">
        <v>2820</v>
      </c>
      <c r="J97" t="str">
        <f>IF(Table1[[#This Row],[Resolution_Date]]="NA","Unresolved","Resolved")</f>
        <v>Unresolved</v>
      </c>
      <c r="K97" t="str">
        <f>IF(Table1[[#This Row],[Resolution_Date]]="NA"," ",Table1[[#This Row],[Resolution_Date]]-Table1[[#This Row],[Complaint_Date]])</f>
        <v xml:space="preserve"> </v>
      </c>
      <c r="L97" t="str">
        <f>TEXT(Table1[[#This Row],[Complaint_Date]],"MMM")</f>
        <v>Feb</v>
      </c>
      <c r="M97" t="str">
        <f>IF(Table1[[#This Row],[Resolution_Time_Hours]]&lt;=24,"Fast",IF(Table1[[#This Row],[Resolution_Time_Hours]]&lt;=72,"Medium","Slow"))</f>
        <v>Medium</v>
      </c>
    </row>
    <row r="98" spans="1:13" x14ac:dyDescent="0.3">
      <c r="A98" t="s">
        <v>319</v>
      </c>
      <c r="B98" t="s">
        <v>320</v>
      </c>
      <c r="C98" t="s">
        <v>43</v>
      </c>
      <c r="D98" t="s">
        <v>18</v>
      </c>
      <c r="E98" s="2" t="s">
        <v>39</v>
      </c>
      <c r="F98">
        <v>28</v>
      </c>
      <c r="G98" t="s">
        <v>20</v>
      </c>
      <c r="H98" s="2" t="s">
        <v>321</v>
      </c>
      <c r="I98">
        <v>2</v>
      </c>
      <c r="J98" t="str">
        <f>IF(Table1[[#This Row],[Resolution_Date]]="NA","Unresolved","Resolved")</f>
        <v>Resolved</v>
      </c>
      <c r="K98">
        <f>IF(Table1[[#This Row],[Resolution_Date]]="NA"," ",Table1[[#This Row],[Resolution_Date]]-Table1[[#This Row],[Complaint_Date]])</f>
        <v>1</v>
      </c>
      <c r="L98" t="str">
        <f>TEXT(Table1[[#This Row],[Complaint_Date]],"MMM")</f>
        <v>Jun</v>
      </c>
      <c r="M98" t="str">
        <f>IF(Table1[[#This Row],[Resolution_Time_Hours]]&lt;=24,"Fast",IF(Table1[[#This Row],[Resolution_Time_Hours]]&lt;=72,"Medium","Slow"))</f>
        <v>Medium</v>
      </c>
    </row>
    <row r="99" spans="1:13" x14ac:dyDescent="0.3">
      <c r="A99" t="s">
        <v>322</v>
      </c>
      <c r="B99" t="s">
        <v>323</v>
      </c>
      <c r="C99" t="s">
        <v>43</v>
      </c>
      <c r="D99" t="s">
        <v>18</v>
      </c>
      <c r="E99" s="2" t="s">
        <v>97</v>
      </c>
      <c r="F99">
        <v>13</v>
      </c>
      <c r="G99" t="s">
        <v>20</v>
      </c>
      <c r="H99" s="2" t="s">
        <v>97</v>
      </c>
      <c r="I99">
        <v>5</v>
      </c>
      <c r="J99" t="str">
        <f>IF(Table1[[#This Row],[Resolution_Date]]="NA","Unresolved","Resolved")</f>
        <v>Resolved</v>
      </c>
      <c r="K99">
        <f>IF(Table1[[#This Row],[Resolution_Date]]="NA"," ",Table1[[#This Row],[Resolution_Date]]-Table1[[#This Row],[Complaint_Date]])</f>
        <v>0</v>
      </c>
      <c r="L99" t="str">
        <f>TEXT(Table1[[#This Row],[Complaint_Date]],"MMM")</f>
        <v>Feb</v>
      </c>
      <c r="M99" t="str">
        <f>IF(Table1[[#This Row],[Resolution_Time_Hours]]&lt;=24,"Fast",IF(Table1[[#This Row],[Resolution_Time_Hours]]&lt;=72,"Medium","Slow"))</f>
        <v>Fast</v>
      </c>
    </row>
    <row r="100" spans="1:13" x14ac:dyDescent="0.3">
      <c r="A100" t="s">
        <v>324</v>
      </c>
      <c r="B100" t="s">
        <v>325</v>
      </c>
      <c r="C100" t="s">
        <v>70</v>
      </c>
      <c r="D100" t="s">
        <v>18</v>
      </c>
      <c r="E100" s="2" t="s">
        <v>326</v>
      </c>
      <c r="F100">
        <v>21</v>
      </c>
      <c r="G100" t="s">
        <v>14</v>
      </c>
      <c r="H100" s="2" t="s">
        <v>2820</v>
      </c>
      <c r="J100" t="str">
        <f>IF(Table1[[#This Row],[Resolution_Date]]="NA","Unresolved","Resolved")</f>
        <v>Unresolved</v>
      </c>
      <c r="K100" t="str">
        <f>IF(Table1[[#This Row],[Resolution_Date]]="NA"," ",Table1[[#This Row],[Resolution_Date]]-Table1[[#This Row],[Complaint_Date]])</f>
        <v xml:space="preserve"> </v>
      </c>
      <c r="L100" t="str">
        <f>TEXT(Table1[[#This Row],[Complaint_Date]],"MMM")</f>
        <v>Sep</v>
      </c>
      <c r="M100" t="str">
        <f>IF(Table1[[#This Row],[Resolution_Time_Hours]]&lt;=24,"Fast",IF(Table1[[#This Row],[Resolution_Time_Hours]]&lt;=72,"Medium","Slow"))</f>
        <v>Fast</v>
      </c>
    </row>
    <row r="101" spans="1:13" x14ac:dyDescent="0.3">
      <c r="A101" t="s">
        <v>327</v>
      </c>
      <c r="B101" t="s">
        <v>328</v>
      </c>
      <c r="C101" t="s">
        <v>34</v>
      </c>
      <c r="D101" t="s">
        <v>38</v>
      </c>
      <c r="E101" s="2" t="s">
        <v>329</v>
      </c>
      <c r="F101">
        <v>42</v>
      </c>
      <c r="G101" t="s">
        <v>20</v>
      </c>
      <c r="H101" s="2" t="s">
        <v>330</v>
      </c>
      <c r="I101">
        <v>2</v>
      </c>
      <c r="J101" t="str">
        <f>IF(Table1[[#This Row],[Resolution_Date]]="NA","Unresolved","Resolved")</f>
        <v>Resolved</v>
      </c>
      <c r="K101">
        <f>IF(Table1[[#This Row],[Resolution_Date]]="NA"," ",Table1[[#This Row],[Resolution_Date]]-Table1[[#This Row],[Complaint_Date]])</f>
        <v>1</v>
      </c>
      <c r="L101" t="str">
        <f>TEXT(Table1[[#This Row],[Complaint_Date]],"MMM")</f>
        <v>Nov</v>
      </c>
      <c r="M101" t="str">
        <f>IF(Table1[[#This Row],[Resolution_Time_Hours]]&lt;=24,"Fast",IF(Table1[[#This Row],[Resolution_Time_Hours]]&lt;=72,"Medium","Slow"))</f>
        <v>Medium</v>
      </c>
    </row>
    <row r="102" spans="1:13" x14ac:dyDescent="0.3">
      <c r="A102" t="s">
        <v>331</v>
      </c>
      <c r="B102" t="s">
        <v>332</v>
      </c>
      <c r="C102" t="s">
        <v>70</v>
      </c>
      <c r="D102" t="s">
        <v>12</v>
      </c>
      <c r="E102" s="2" t="s">
        <v>333</v>
      </c>
      <c r="F102">
        <v>9</v>
      </c>
      <c r="G102" t="s">
        <v>40</v>
      </c>
      <c r="H102" s="2" t="s">
        <v>2820</v>
      </c>
      <c r="J102" t="str">
        <f>IF(Table1[[#This Row],[Resolution_Date]]="NA","Unresolved","Resolved")</f>
        <v>Unresolved</v>
      </c>
      <c r="K102" t="str">
        <f>IF(Table1[[#This Row],[Resolution_Date]]="NA"," ",Table1[[#This Row],[Resolution_Date]]-Table1[[#This Row],[Complaint_Date]])</f>
        <v xml:space="preserve"> </v>
      </c>
      <c r="L102" t="str">
        <f>TEXT(Table1[[#This Row],[Complaint_Date]],"MMM")</f>
        <v>Sep</v>
      </c>
      <c r="M102" t="str">
        <f>IF(Table1[[#This Row],[Resolution_Time_Hours]]&lt;=24,"Fast",IF(Table1[[#This Row],[Resolution_Time_Hours]]&lt;=72,"Medium","Slow"))</f>
        <v>Fast</v>
      </c>
    </row>
    <row r="103" spans="1:13" x14ac:dyDescent="0.3">
      <c r="A103" t="s">
        <v>334</v>
      </c>
      <c r="B103" t="s">
        <v>335</v>
      </c>
      <c r="C103" t="s">
        <v>11</v>
      </c>
      <c r="D103" t="s">
        <v>38</v>
      </c>
      <c r="E103" s="2" t="s">
        <v>336</v>
      </c>
      <c r="F103">
        <v>12</v>
      </c>
      <c r="G103" t="s">
        <v>20</v>
      </c>
      <c r="H103" s="2" t="s">
        <v>336</v>
      </c>
      <c r="I103">
        <v>4</v>
      </c>
      <c r="J103" t="str">
        <f>IF(Table1[[#This Row],[Resolution_Date]]="NA","Unresolved","Resolved")</f>
        <v>Resolved</v>
      </c>
      <c r="K103">
        <f>IF(Table1[[#This Row],[Resolution_Date]]="NA"," ",Table1[[#This Row],[Resolution_Date]]-Table1[[#This Row],[Complaint_Date]])</f>
        <v>0</v>
      </c>
      <c r="L103" t="str">
        <f>TEXT(Table1[[#This Row],[Complaint_Date]],"MMM")</f>
        <v>Oct</v>
      </c>
      <c r="M103" t="str">
        <f>IF(Table1[[#This Row],[Resolution_Time_Hours]]&lt;=24,"Fast",IF(Table1[[#This Row],[Resolution_Time_Hours]]&lt;=72,"Medium","Slow"))</f>
        <v>Fast</v>
      </c>
    </row>
    <row r="104" spans="1:13" x14ac:dyDescent="0.3">
      <c r="A104" t="s">
        <v>337</v>
      </c>
      <c r="B104" t="s">
        <v>338</v>
      </c>
      <c r="C104" t="s">
        <v>110</v>
      </c>
      <c r="D104" t="s">
        <v>95</v>
      </c>
      <c r="E104" s="2" t="s">
        <v>339</v>
      </c>
      <c r="F104">
        <v>3</v>
      </c>
      <c r="G104" t="s">
        <v>20</v>
      </c>
      <c r="H104" s="2" t="s">
        <v>339</v>
      </c>
      <c r="I104">
        <v>5</v>
      </c>
      <c r="J104" t="str">
        <f>IF(Table1[[#This Row],[Resolution_Date]]="NA","Unresolved","Resolved")</f>
        <v>Resolved</v>
      </c>
      <c r="K104">
        <f>IF(Table1[[#This Row],[Resolution_Date]]="NA"," ",Table1[[#This Row],[Resolution_Date]]-Table1[[#This Row],[Complaint_Date]])</f>
        <v>0</v>
      </c>
      <c r="L104" t="str">
        <f>TEXT(Table1[[#This Row],[Complaint_Date]],"MMM")</f>
        <v>Apr</v>
      </c>
      <c r="M104" t="str">
        <f>IF(Table1[[#This Row],[Resolution_Time_Hours]]&lt;=24,"Fast",IF(Table1[[#This Row],[Resolution_Time_Hours]]&lt;=72,"Medium","Slow"))</f>
        <v>Fast</v>
      </c>
    </row>
    <row r="105" spans="1:13" x14ac:dyDescent="0.3">
      <c r="A105" t="s">
        <v>340</v>
      </c>
      <c r="B105" t="s">
        <v>341</v>
      </c>
      <c r="C105" t="s">
        <v>48</v>
      </c>
      <c r="D105" t="s">
        <v>95</v>
      </c>
      <c r="E105" s="2" t="s">
        <v>342</v>
      </c>
      <c r="F105">
        <v>58</v>
      </c>
      <c r="G105" t="s">
        <v>20</v>
      </c>
      <c r="H105" s="2" t="s">
        <v>343</v>
      </c>
      <c r="I105">
        <v>1</v>
      </c>
      <c r="J105" t="str">
        <f>IF(Table1[[#This Row],[Resolution_Date]]="NA","Unresolved","Resolved")</f>
        <v>Resolved</v>
      </c>
      <c r="K105">
        <f>IF(Table1[[#This Row],[Resolution_Date]]="NA"," ",Table1[[#This Row],[Resolution_Date]]-Table1[[#This Row],[Complaint_Date]])</f>
        <v>2</v>
      </c>
      <c r="L105" t="str">
        <f>TEXT(Table1[[#This Row],[Complaint_Date]],"MMM")</f>
        <v>Sep</v>
      </c>
      <c r="M105" t="str">
        <f>IF(Table1[[#This Row],[Resolution_Time_Hours]]&lt;=24,"Fast",IF(Table1[[#This Row],[Resolution_Time_Hours]]&lt;=72,"Medium","Slow"))</f>
        <v>Medium</v>
      </c>
    </row>
    <row r="106" spans="1:13" x14ac:dyDescent="0.3">
      <c r="A106" t="s">
        <v>344</v>
      </c>
      <c r="B106" t="s">
        <v>345</v>
      </c>
      <c r="C106" t="s">
        <v>43</v>
      </c>
      <c r="D106" t="s">
        <v>12</v>
      </c>
      <c r="E106" s="2" t="s">
        <v>114</v>
      </c>
      <c r="F106">
        <v>6</v>
      </c>
      <c r="G106" t="s">
        <v>20</v>
      </c>
      <c r="H106" s="2" t="s">
        <v>114</v>
      </c>
      <c r="I106">
        <v>5</v>
      </c>
      <c r="J106" t="str">
        <f>IF(Table1[[#This Row],[Resolution_Date]]="NA","Unresolved","Resolved")</f>
        <v>Resolved</v>
      </c>
      <c r="K106">
        <f>IF(Table1[[#This Row],[Resolution_Date]]="NA"," ",Table1[[#This Row],[Resolution_Date]]-Table1[[#This Row],[Complaint_Date]])</f>
        <v>0</v>
      </c>
      <c r="L106" t="str">
        <f>TEXT(Table1[[#This Row],[Complaint_Date]],"MMM")</f>
        <v>Jan</v>
      </c>
      <c r="M106" t="str">
        <f>IF(Table1[[#This Row],[Resolution_Time_Hours]]&lt;=24,"Fast",IF(Table1[[#This Row],[Resolution_Time_Hours]]&lt;=72,"Medium","Slow"))</f>
        <v>Fast</v>
      </c>
    </row>
    <row r="107" spans="1:13" x14ac:dyDescent="0.3">
      <c r="A107" t="s">
        <v>346</v>
      </c>
      <c r="B107" t="s">
        <v>347</v>
      </c>
      <c r="C107" t="s">
        <v>110</v>
      </c>
      <c r="D107" t="s">
        <v>12</v>
      </c>
      <c r="E107" s="2" t="s">
        <v>111</v>
      </c>
      <c r="F107">
        <v>14</v>
      </c>
      <c r="G107" t="s">
        <v>14</v>
      </c>
      <c r="H107" s="2" t="s">
        <v>2820</v>
      </c>
      <c r="J107" t="str">
        <f>IF(Table1[[#This Row],[Resolution_Date]]="NA","Unresolved","Resolved")</f>
        <v>Unresolved</v>
      </c>
      <c r="K107" t="str">
        <f>IF(Table1[[#This Row],[Resolution_Date]]="NA"," ",Table1[[#This Row],[Resolution_Date]]-Table1[[#This Row],[Complaint_Date]])</f>
        <v xml:space="preserve"> </v>
      </c>
      <c r="L107" t="str">
        <f>TEXT(Table1[[#This Row],[Complaint_Date]],"MMM")</f>
        <v>Jan</v>
      </c>
      <c r="M107" t="str">
        <f>IF(Table1[[#This Row],[Resolution_Time_Hours]]&lt;=24,"Fast",IF(Table1[[#This Row],[Resolution_Time_Hours]]&lt;=72,"Medium","Slow"))</f>
        <v>Fast</v>
      </c>
    </row>
    <row r="108" spans="1:13" x14ac:dyDescent="0.3">
      <c r="A108" t="s">
        <v>348</v>
      </c>
      <c r="B108" t="s">
        <v>349</v>
      </c>
      <c r="C108" t="s">
        <v>70</v>
      </c>
      <c r="D108" t="s">
        <v>18</v>
      </c>
      <c r="E108" s="2" t="s">
        <v>350</v>
      </c>
      <c r="F108">
        <v>18</v>
      </c>
      <c r="G108" t="s">
        <v>20</v>
      </c>
      <c r="H108" s="2" t="s">
        <v>350</v>
      </c>
      <c r="I108">
        <v>3</v>
      </c>
      <c r="J108" t="str">
        <f>IF(Table1[[#This Row],[Resolution_Date]]="NA","Unresolved","Resolved")</f>
        <v>Resolved</v>
      </c>
      <c r="K108">
        <f>IF(Table1[[#This Row],[Resolution_Date]]="NA"," ",Table1[[#This Row],[Resolution_Date]]-Table1[[#This Row],[Complaint_Date]])</f>
        <v>0</v>
      </c>
      <c r="L108" t="str">
        <f>TEXT(Table1[[#This Row],[Complaint_Date]],"MMM")</f>
        <v>Nov</v>
      </c>
      <c r="M108" t="str">
        <f>IF(Table1[[#This Row],[Resolution_Time_Hours]]&lt;=24,"Fast",IF(Table1[[#This Row],[Resolution_Time_Hours]]&lt;=72,"Medium","Slow"))</f>
        <v>Fast</v>
      </c>
    </row>
    <row r="109" spans="1:13" x14ac:dyDescent="0.3">
      <c r="A109" t="s">
        <v>351</v>
      </c>
      <c r="B109" t="s">
        <v>352</v>
      </c>
      <c r="C109" t="s">
        <v>34</v>
      </c>
      <c r="D109" t="s">
        <v>95</v>
      </c>
      <c r="E109" s="2" t="s">
        <v>284</v>
      </c>
      <c r="F109">
        <v>52</v>
      </c>
      <c r="G109" t="s">
        <v>20</v>
      </c>
      <c r="H109" s="2" t="s">
        <v>45</v>
      </c>
      <c r="I109">
        <v>1</v>
      </c>
      <c r="J109" t="str">
        <f>IF(Table1[[#This Row],[Resolution_Date]]="NA","Unresolved","Resolved")</f>
        <v>Resolved</v>
      </c>
      <c r="K109">
        <f>IF(Table1[[#This Row],[Resolution_Date]]="NA"," ",Table1[[#This Row],[Resolution_Date]]-Table1[[#This Row],[Complaint_Date]])</f>
        <v>2</v>
      </c>
      <c r="L109" t="str">
        <f>TEXT(Table1[[#This Row],[Complaint_Date]],"MMM")</f>
        <v>Nov</v>
      </c>
      <c r="M109" t="str">
        <f>IF(Table1[[#This Row],[Resolution_Time_Hours]]&lt;=24,"Fast",IF(Table1[[#This Row],[Resolution_Time_Hours]]&lt;=72,"Medium","Slow"))</f>
        <v>Medium</v>
      </c>
    </row>
    <row r="110" spans="1:13" x14ac:dyDescent="0.3">
      <c r="A110" t="s">
        <v>353</v>
      </c>
      <c r="B110" t="s">
        <v>354</v>
      </c>
      <c r="C110" t="s">
        <v>48</v>
      </c>
      <c r="D110" t="s">
        <v>18</v>
      </c>
      <c r="E110" s="2" t="s">
        <v>355</v>
      </c>
      <c r="F110">
        <v>8</v>
      </c>
      <c r="G110" t="s">
        <v>20</v>
      </c>
      <c r="H110" s="2" t="s">
        <v>355</v>
      </c>
      <c r="I110">
        <v>4</v>
      </c>
      <c r="J110" t="str">
        <f>IF(Table1[[#This Row],[Resolution_Date]]="NA","Unresolved","Resolved")</f>
        <v>Resolved</v>
      </c>
      <c r="K110">
        <f>IF(Table1[[#This Row],[Resolution_Date]]="NA"," ",Table1[[#This Row],[Resolution_Date]]-Table1[[#This Row],[Complaint_Date]])</f>
        <v>0</v>
      </c>
      <c r="L110" t="str">
        <f>TEXT(Table1[[#This Row],[Complaint_Date]],"MMM")</f>
        <v>May</v>
      </c>
      <c r="M110" t="str">
        <f>IF(Table1[[#This Row],[Resolution_Time_Hours]]&lt;=24,"Fast",IF(Table1[[#This Row],[Resolution_Time_Hours]]&lt;=72,"Medium","Slow"))</f>
        <v>Fast</v>
      </c>
    </row>
    <row r="111" spans="1:13" x14ac:dyDescent="0.3">
      <c r="A111" t="s">
        <v>356</v>
      </c>
      <c r="B111" t="s">
        <v>357</v>
      </c>
      <c r="C111" t="s">
        <v>70</v>
      </c>
      <c r="D111" t="s">
        <v>12</v>
      </c>
      <c r="E111" s="2" t="s">
        <v>292</v>
      </c>
      <c r="F111">
        <v>18</v>
      </c>
      <c r="G111" t="s">
        <v>40</v>
      </c>
      <c r="H111" s="2" t="s">
        <v>2820</v>
      </c>
      <c r="J111" t="str">
        <f>IF(Table1[[#This Row],[Resolution_Date]]="NA","Unresolved","Resolved")</f>
        <v>Unresolved</v>
      </c>
      <c r="K111" t="str">
        <f>IF(Table1[[#This Row],[Resolution_Date]]="NA"," ",Table1[[#This Row],[Resolution_Date]]-Table1[[#This Row],[Complaint_Date]])</f>
        <v xml:space="preserve"> </v>
      </c>
      <c r="L111" t="str">
        <f>TEXT(Table1[[#This Row],[Complaint_Date]],"MMM")</f>
        <v>Oct</v>
      </c>
      <c r="M111" t="str">
        <f>IF(Table1[[#This Row],[Resolution_Time_Hours]]&lt;=24,"Fast",IF(Table1[[#This Row],[Resolution_Time_Hours]]&lt;=72,"Medium","Slow"))</f>
        <v>Fast</v>
      </c>
    </row>
    <row r="112" spans="1:13" x14ac:dyDescent="0.3">
      <c r="A112" t="s">
        <v>358</v>
      </c>
      <c r="B112" t="s">
        <v>359</v>
      </c>
      <c r="C112" t="s">
        <v>48</v>
      </c>
      <c r="D112" t="s">
        <v>95</v>
      </c>
      <c r="E112" s="2" t="s">
        <v>360</v>
      </c>
      <c r="F112">
        <v>23</v>
      </c>
      <c r="G112" t="s">
        <v>20</v>
      </c>
      <c r="H112" s="2" t="s">
        <v>360</v>
      </c>
      <c r="I112">
        <v>3</v>
      </c>
      <c r="J112" t="str">
        <f>IF(Table1[[#This Row],[Resolution_Date]]="NA","Unresolved","Resolved")</f>
        <v>Resolved</v>
      </c>
      <c r="K112">
        <f>IF(Table1[[#This Row],[Resolution_Date]]="NA"," ",Table1[[#This Row],[Resolution_Date]]-Table1[[#This Row],[Complaint_Date]])</f>
        <v>0</v>
      </c>
      <c r="L112" t="str">
        <f>TEXT(Table1[[#This Row],[Complaint_Date]],"MMM")</f>
        <v>Oct</v>
      </c>
      <c r="M112" t="str">
        <f>IF(Table1[[#This Row],[Resolution_Time_Hours]]&lt;=24,"Fast",IF(Table1[[#This Row],[Resolution_Time_Hours]]&lt;=72,"Medium","Slow"))</f>
        <v>Fast</v>
      </c>
    </row>
    <row r="113" spans="1:13" x14ac:dyDescent="0.3">
      <c r="A113" t="s">
        <v>361</v>
      </c>
      <c r="B113" t="s">
        <v>362</v>
      </c>
      <c r="C113" t="s">
        <v>34</v>
      </c>
      <c r="D113" t="s">
        <v>95</v>
      </c>
      <c r="E113" s="2" t="s">
        <v>350</v>
      </c>
      <c r="F113">
        <v>77</v>
      </c>
      <c r="G113" t="s">
        <v>20</v>
      </c>
      <c r="H113" s="2" t="s">
        <v>363</v>
      </c>
      <c r="I113">
        <v>1</v>
      </c>
      <c r="J113" t="str">
        <f>IF(Table1[[#This Row],[Resolution_Date]]="NA","Unresolved","Resolved")</f>
        <v>Resolved</v>
      </c>
      <c r="K113">
        <f>IF(Table1[[#This Row],[Resolution_Date]]="NA"," ",Table1[[#This Row],[Resolution_Date]]-Table1[[#This Row],[Complaint_Date]])</f>
        <v>3</v>
      </c>
      <c r="L113" t="str">
        <f>TEXT(Table1[[#This Row],[Complaint_Date]],"MMM")</f>
        <v>Nov</v>
      </c>
      <c r="M113" t="str">
        <f>IF(Table1[[#This Row],[Resolution_Time_Hours]]&lt;=24,"Fast",IF(Table1[[#This Row],[Resolution_Time_Hours]]&lt;=72,"Medium","Slow"))</f>
        <v>Slow</v>
      </c>
    </row>
    <row r="114" spans="1:13" x14ac:dyDescent="0.3">
      <c r="A114" t="s">
        <v>364</v>
      </c>
      <c r="B114" t="s">
        <v>365</v>
      </c>
      <c r="C114" t="s">
        <v>48</v>
      </c>
      <c r="D114" t="s">
        <v>18</v>
      </c>
      <c r="E114" s="2" t="s">
        <v>127</v>
      </c>
      <c r="F114">
        <v>60</v>
      </c>
      <c r="G114" t="s">
        <v>20</v>
      </c>
      <c r="H114" s="2" t="s">
        <v>366</v>
      </c>
      <c r="I114">
        <v>5</v>
      </c>
      <c r="J114" t="str">
        <f>IF(Table1[[#This Row],[Resolution_Date]]="NA","Unresolved","Resolved")</f>
        <v>Resolved</v>
      </c>
      <c r="K114">
        <f>IF(Table1[[#This Row],[Resolution_Date]]="NA"," ",Table1[[#This Row],[Resolution_Date]]-Table1[[#This Row],[Complaint_Date]])</f>
        <v>2</v>
      </c>
      <c r="L114" t="str">
        <f>TEXT(Table1[[#This Row],[Complaint_Date]],"MMM")</f>
        <v>Aug</v>
      </c>
      <c r="M114" t="str">
        <f>IF(Table1[[#This Row],[Resolution_Time_Hours]]&lt;=24,"Fast",IF(Table1[[#This Row],[Resolution_Time_Hours]]&lt;=72,"Medium","Slow"))</f>
        <v>Medium</v>
      </c>
    </row>
    <row r="115" spans="1:13" x14ac:dyDescent="0.3">
      <c r="A115" t="s">
        <v>367</v>
      </c>
      <c r="B115" t="s">
        <v>368</v>
      </c>
      <c r="C115" t="s">
        <v>110</v>
      </c>
      <c r="D115" t="s">
        <v>95</v>
      </c>
      <c r="E115" s="2" t="s">
        <v>369</v>
      </c>
      <c r="F115">
        <v>24</v>
      </c>
      <c r="G115" t="s">
        <v>20</v>
      </c>
      <c r="H115" s="2" t="s">
        <v>370</v>
      </c>
      <c r="I115">
        <v>3</v>
      </c>
      <c r="J115" t="str">
        <f>IF(Table1[[#This Row],[Resolution_Date]]="NA","Unresolved","Resolved")</f>
        <v>Resolved</v>
      </c>
      <c r="K115">
        <f>IF(Table1[[#This Row],[Resolution_Date]]="NA"," ",Table1[[#This Row],[Resolution_Date]]-Table1[[#This Row],[Complaint_Date]])</f>
        <v>1</v>
      </c>
      <c r="L115" t="str">
        <f>TEXT(Table1[[#This Row],[Complaint_Date]],"MMM")</f>
        <v>May</v>
      </c>
      <c r="M115" t="str">
        <f>IF(Table1[[#This Row],[Resolution_Time_Hours]]&lt;=24,"Fast",IF(Table1[[#This Row],[Resolution_Time_Hours]]&lt;=72,"Medium","Slow"))</f>
        <v>Fast</v>
      </c>
    </row>
    <row r="116" spans="1:13" x14ac:dyDescent="0.3">
      <c r="A116" t="s">
        <v>371</v>
      </c>
      <c r="B116" t="s">
        <v>372</v>
      </c>
      <c r="C116" t="s">
        <v>11</v>
      </c>
      <c r="D116" t="s">
        <v>12</v>
      </c>
      <c r="E116" s="2" t="s">
        <v>373</v>
      </c>
      <c r="F116">
        <v>33</v>
      </c>
      <c r="G116" t="s">
        <v>40</v>
      </c>
      <c r="H116" s="2" t="s">
        <v>2820</v>
      </c>
      <c r="J116" t="str">
        <f>IF(Table1[[#This Row],[Resolution_Date]]="NA","Unresolved","Resolved")</f>
        <v>Unresolved</v>
      </c>
      <c r="K116" t="str">
        <f>IF(Table1[[#This Row],[Resolution_Date]]="NA"," ",Table1[[#This Row],[Resolution_Date]]-Table1[[#This Row],[Complaint_Date]])</f>
        <v xml:space="preserve"> </v>
      </c>
      <c r="L116" t="str">
        <f>TEXT(Table1[[#This Row],[Complaint_Date]],"MMM")</f>
        <v>Sep</v>
      </c>
      <c r="M116" t="str">
        <f>IF(Table1[[#This Row],[Resolution_Time_Hours]]&lt;=24,"Fast",IF(Table1[[#This Row],[Resolution_Time_Hours]]&lt;=72,"Medium","Slow"))</f>
        <v>Medium</v>
      </c>
    </row>
    <row r="117" spans="1:13" x14ac:dyDescent="0.3">
      <c r="A117" t="s">
        <v>374</v>
      </c>
      <c r="B117" t="s">
        <v>375</v>
      </c>
      <c r="C117" t="s">
        <v>48</v>
      </c>
      <c r="D117" t="s">
        <v>12</v>
      </c>
      <c r="E117" s="2" t="s">
        <v>376</v>
      </c>
      <c r="F117">
        <v>64</v>
      </c>
      <c r="G117" t="s">
        <v>20</v>
      </c>
      <c r="H117" s="2" t="s">
        <v>377</v>
      </c>
      <c r="I117">
        <v>1</v>
      </c>
      <c r="J117" t="str">
        <f>IF(Table1[[#This Row],[Resolution_Date]]="NA","Unresolved","Resolved")</f>
        <v>Resolved</v>
      </c>
      <c r="K117">
        <f>IF(Table1[[#This Row],[Resolution_Date]]="NA"," ",Table1[[#This Row],[Resolution_Date]]-Table1[[#This Row],[Complaint_Date]])</f>
        <v>2</v>
      </c>
      <c r="L117" t="str">
        <f>TEXT(Table1[[#This Row],[Complaint_Date]],"MMM")</f>
        <v>Jul</v>
      </c>
      <c r="M117" t="str">
        <f>IF(Table1[[#This Row],[Resolution_Time_Hours]]&lt;=24,"Fast",IF(Table1[[#This Row],[Resolution_Time_Hours]]&lt;=72,"Medium","Slow"))</f>
        <v>Medium</v>
      </c>
    </row>
    <row r="118" spans="1:13" x14ac:dyDescent="0.3">
      <c r="A118" t="s">
        <v>378</v>
      </c>
      <c r="B118" t="s">
        <v>379</v>
      </c>
      <c r="C118" t="s">
        <v>70</v>
      </c>
      <c r="D118" t="s">
        <v>27</v>
      </c>
      <c r="E118" s="2" t="s">
        <v>380</v>
      </c>
      <c r="F118">
        <v>10</v>
      </c>
      <c r="G118" t="s">
        <v>20</v>
      </c>
      <c r="H118" s="2" t="s">
        <v>380</v>
      </c>
      <c r="I118">
        <v>4</v>
      </c>
      <c r="J118" t="str">
        <f>IF(Table1[[#This Row],[Resolution_Date]]="NA","Unresolved","Resolved")</f>
        <v>Resolved</v>
      </c>
      <c r="K118">
        <f>IF(Table1[[#This Row],[Resolution_Date]]="NA"," ",Table1[[#This Row],[Resolution_Date]]-Table1[[#This Row],[Complaint_Date]])</f>
        <v>0</v>
      </c>
      <c r="L118" t="str">
        <f>TEXT(Table1[[#This Row],[Complaint_Date]],"MMM")</f>
        <v>Apr</v>
      </c>
      <c r="M118" t="str">
        <f>IF(Table1[[#This Row],[Resolution_Time_Hours]]&lt;=24,"Fast",IF(Table1[[#This Row],[Resolution_Time_Hours]]&lt;=72,"Medium","Slow"))</f>
        <v>Fast</v>
      </c>
    </row>
    <row r="119" spans="1:13" x14ac:dyDescent="0.3">
      <c r="A119" t="s">
        <v>381</v>
      </c>
      <c r="B119" t="s">
        <v>382</v>
      </c>
      <c r="C119" t="s">
        <v>70</v>
      </c>
      <c r="D119" t="s">
        <v>38</v>
      </c>
      <c r="E119" s="2" t="s">
        <v>326</v>
      </c>
      <c r="F119">
        <v>9</v>
      </c>
      <c r="G119" t="s">
        <v>14</v>
      </c>
      <c r="H119" s="2" t="s">
        <v>2820</v>
      </c>
      <c r="J119" t="str">
        <f>IF(Table1[[#This Row],[Resolution_Date]]="NA","Unresolved","Resolved")</f>
        <v>Unresolved</v>
      </c>
      <c r="K119" t="str">
        <f>IF(Table1[[#This Row],[Resolution_Date]]="NA"," ",Table1[[#This Row],[Resolution_Date]]-Table1[[#This Row],[Complaint_Date]])</f>
        <v xml:space="preserve"> </v>
      </c>
      <c r="L119" t="str">
        <f>TEXT(Table1[[#This Row],[Complaint_Date]],"MMM")</f>
        <v>Sep</v>
      </c>
      <c r="M119" t="str">
        <f>IF(Table1[[#This Row],[Resolution_Time_Hours]]&lt;=24,"Fast",IF(Table1[[#This Row],[Resolution_Time_Hours]]&lt;=72,"Medium","Slow"))</f>
        <v>Fast</v>
      </c>
    </row>
    <row r="120" spans="1:13" x14ac:dyDescent="0.3">
      <c r="A120" t="s">
        <v>383</v>
      </c>
      <c r="B120" t="s">
        <v>384</v>
      </c>
      <c r="C120" t="s">
        <v>34</v>
      </c>
      <c r="D120" t="s">
        <v>95</v>
      </c>
      <c r="E120" s="2" t="s">
        <v>385</v>
      </c>
      <c r="F120">
        <v>49</v>
      </c>
      <c r="G120" t="s">
        <v>20</v>
      </c>
      <c r="H120" s="2" t="s">
        <v>386</v>
      </c>
      <c r="I120">
        <v>1</v>
      </c>
      <c r="J120" t="str">
        <f>IF(Table1[[#This Row],[Resolution_Date]]="NA","Unresolved","Resolved")</f>
        <v>Resolved</v>
      </c>
      <c r="K120">
        <f>IF(Table1[[#This Row],[Resolution_Date]]="NA"," ",Table1[[#This Row],[Resolution_Date]]-Table1[[#This Row],[Complaint_Date]])</f>
        <v>2</v>
      </c>
      <c r="L120" t="str">
        <f>TEXT(Table1[[#This Row],[Complaint_Date]],"MMM")</f>
        <v>Jul</v>
      </c>
      <c r="M120" t="str">
        <f>IF(Table1[[#This Row],[Resolution_Time_Hours]]&lt;=24,"Fast",IF(Table1[[#This Row],[Resolution_Time_Hours]]&lt;=72,"Medium","Slow"))</f>
        <v>Medium</v>
      </c>
    </row>
    <row r="121" spans="1:13" x14ac:dyDescent="0.3">
      <c r="A121" t="s">
        <v>387</v>
      </c>
      <c r="B121" t="s">
        <v>388</v>
      </c>
      <c r="C121" t="s">
        <v>11</v>
      </c>
      <c r="D121" t="s">
        <v>18</v>
      </c>
      <c r="E121" s="2" t="s">
        <v>389</v>
      </c>
      <c r="F121">
        <v>39</v>
      </c>
      <c r="G121" t="s">
        <v>40</v>
      </c>
      <c r="H121" s="2" t="s">
        <v>2820</v>
      </c>
      <c r="J121" t="str">
        <f>IF(Table1[[#This Row],[Resolution_Date]]="NA","Unresolved","Resolved")</f>
        <v>Unresolved</v>
      </c>
      <c r="K121" t="str">
        <f>IF(Table1[[#This Row],[Resolution_Date]]="NA"," ",Table1[[#This Row],[Resolution_Date]]-Table1[[#This Row],[Complaint_Date]])</f>
        <v xml:space="preserve"> </v>
      </c>
      <c r="L121" t="str">
        <f>TEXT(Table1[[#This Row],[Complaint_Date]],"MMM")</f>
        <v>Feb</v>
      </c>
      <c r="M121" t="str">
        <f>IF(Table1[[#This Row],[Resolution_Time_Hours]]&lt;=24,"Fast",IF(Table1[[#This Row],[Resolution_Time_Hours]]&lt;=72,"Medium","Slow"))</f>
        <v>Medium</v>
      </c>
    </row>
    <row r="122" spans="1:13" x14ac:dyDescent="0.3">
      <c r="A122" t="s">
        <v>390</v>
      </c>
      <c r="B122" t="s">
        <v>391</v>
      </c>
      <c r="C122" t="s">
        <v>70</v>
      </c>
      <c r="D122" t="s">
        <v>38</v>
      </c>
      <c r="E122" s="2" t="s">
        <v>392</v>
      </c>
      <c r="F122">
        <v>18</v>
      </c>
      <c r="G122" t="s">
        <v>20</v>
      </c>
      <c r="H122" s="2" t="s">
        <v>392</v>
      </c>
      <c r="I122">
        <v>3</v>
      </c>
      <c r="J122" t="str">
        <f>IF(Table1[[#This Row],[Resolution_Date]]="NA","Unresolved","Resolved")</f>
        <v>Resolved</v>
      </c>
      <c r="K122">
        <f>IF(Table1[[#This Row],[Resolution_Date]]="NA"," ",Table1[[#This Row],[Resolution_Date]]-Table1[[#This Row],[Complaint_Date]])</f>
        <v>0</v>
      </c>
      <c r="L122" t="str">
        <f>TEXT(Table1[[#This Row],[Complaint_Date]],"MMM")</f>
        <v>Aug</v>
      </c>
      <c r="M122" t="str">
        <f>IF(Table1[[#This Row],[Resolution_Time_Hours]]&lt;=24,"Fast",IF(Table1[[#This Row],[Resolution_Time_Hours]]&lt;=72,"Medium","Slow"))</f>
        <v>Fast</v>
      </c>
    </row>
    <row r="123" spans="1:13" x14ac:dyDescent="0.3">
      <c r="A123" t="s">
        <v>393</v>
      </c>
      <c r="B123" t="s">
        <v>394</v>
      </c>
      <c r="C123" t="s">
        <v>48</v>
      </c>
      <c r="D123" t="s">
        <v>95</v>
      </c>
      <c r="E123" s="2" t="s">
        <v>395</v>
      </c>
      <c r="F123">
        <v>37</v>
      </c>
      <c r="G123" t="s">
        <v>40</v>
      </c>
      <c r="H123" s="2" t="s">
        <v>2820</v>
      </c>
      <c r="J123" t="str">
        <f>IF(Table1[[#This Row],[Resolution_Date]]="NA","Unresolved","Resolved")</f>
        <v>Unresolved</v>
      </c>
      <c r="K123" t="str">
        <f>IF(Table1[[#This Row],[Resolution_Date]]="NA"," ",Table1[[#This Row],[Resolution_Date]]-Table1[[#This Row],[Complaint_Date]])</f>
        <v xml:space="preserve"> </v>
      </c>
      <c r="L123" t="str">
        <f>TEXT(Table1[[#This Row],[Complaint_Date]],"MMM")</f>
        <v>May</v>
      </c>
      <c r="M123" t="str">
        <f>IF(Table1[[#This Row],[Resolution_Time_Hours]]&lt;=24,"Fast",IF(Table1[[#This Row],[Resolution_Time_Hours]]&lt;=72,"Medium","Slow"))</f>
        <v>Medium</v>
      </c>
    </row>
    <row r="124" spans="1:13" x14ac:dyDescent="0.3">
      <c r="A124" t="s">
        <v>396</v>
      </c>
      <c r="B124" t="s">
        <v>397</v>
      </c>
      <c r="C124" t="s">
        <v>48</v>
      </c>
      <c r="D124" t="s">
        <v>12</v>
      </c>
      <c r="E124" s="2" t="s">
        <v>398</v>
      </c>
      <c r="F124">
        <v>36</v>
      </c>
      <c r="G124" t="s">
        <v>20</v>
      </c>
      <c r="H124" s="2" t="s">
        <v>399</v>
      </c>
      <c r="I124">
        <v>2</v>
      </c>
      <c r="J124" t="str">
        <f>IF(Table1[[#This Row],[Resolution_Date]]="NA","Unresolved","Resolved")</f>
        <v>Resolved</v>
      </c>
      <c r="K124">
        <f>IF(Table1[[#This Row],[Resolution_Date]]="NA"," ",Table1[[#This Row],[Resolution_Date]]-Table1[[#This Row],[Complaint_Date]])</f>
        <v>1</v>
      </c>
      <c r="L124" t="str">
        <f>TEXT(Table1[[#This Row],[Complaint_Date]],"MMM")</f>
        <v>Oct</v>
      </c>
      <c r="M124" t="str">
        <f>IF(Table1[[#This Row],[Resolution_Time_Hours]]&lt;=24,"Fast",IF(Table1[[#This Row],[Resolution_Time_Hours]]&lt;=72,"Medium","Slow"))</f>
        <v>Medium</v>
      </c>
    </row>
    <row r="125" spans="1:13" x14ac:dyDescent="0.3">
      <c r="A125" t="s">
        <v>400</v>
      </c>
      <c r="B125" t="s">
        <v>401</v>
      </c>
      <c r="C125" t="s">
        <v>11</v>
      </c>
      <c r="D125" t="s">
        <v>38</v>
      </c>
      <c r="E125" s="2" t="s">
        <v>277</v>
      </c>
      <c r="F125">
        <v>47</v>
      </c>
      <c r="G125" t="s">
        <v>20</v>
      </c>
      <c r="H125" s="2" t="s">
        <v>402</v>
      </c>
      <c r="I125">
        <v>2</v>
      </c>
      <c r="J125" t="str">
        <f>IF(Table1[[#This Row],[Resolution_Date]]="NA","Unresolved","Resolved")</f>
        <v>Resolved</v>
      </c>
      <c r="K125">
        <f>IF(Table1[[#This Row],[Resolution_Date]]="NA"," ",Table1[[#This Row],[Resolution_Date]]-Table1[[#This Row],[Complaint_Date]])</f>
        <v>1</v>
      </c>
      <c r="L125" t="str">
        <f>TEXT(Table1[[#This Row],[Complaint_Date]],"MMM")</f>
        <v>Dec</v>
      </c>
      <c r="M125" t="str">
        <f>IF(Table1[[#This Row],[Resolution_Time_Hours]]&lt;=24,"Fast",IF(Table1[[#This Row],[Resolution_Time_Hours]]&lt;=72,"Medium","Slow"))</f>
        <v>Medium</v>
      </c>
    </row>
    <row r="126" spans="1:13" x14ac:dyDescent="0.3">
      <c r="A126" t="s">
        <v>403</v>
      </c>
      <c r="B126" t="s">
        <v>404</v>
      </c>
      <c r="C126" t="s">
        <v>34</v>
      </c>
      <c r="D126" t="s">
        <v>38</v>
      </c>
      <c r="E126" s="2" t="s">
        <v>405</v>
      </c>
      <c r="F126">
        <v>38</v>
      </c>
      <c r="G126" t="s">
        <v>20</v>
      </c>
      <c r="H126" s="2" t="s">
        <v>211</v>
      </c>
      <c r="I126">
        <v>2</v>
      </c>
      <c r="J126" t="str">
        <f>IF(Table1[[#This Row],[Resolution_Date]]="NA","Unresolved","Resolved")</f>
        <v>Resolved</v>
      </c>
      <c r="K126">
        <f>IF(Table1[[#This Row],[Resolution_Date]]="NA"," ",Table1[[#This Row],[Resolution_Date]]-Table1[[#This Row],[Complaint_Date]])</f>
        <v>1</v>
      </c>
      <c r="L126" t="str">
        <f>TEXT(Table1[[#This Row],[Complaint_Date]],"MMM")</f>
        <v>Dec</v>
      </c>
      <c r="M126" t="str">
        <f>IF(Table1[[#This Row],[Resolution_Time_Hours]]&lt;=24,"Fast",IF(Table1[[#This Row],[Resolution_Time_Hours]]&lt;=72,"Medium","Slow"))</f>
        <v>Medium</v>
      </c>
    </row>
    <row r="127" spans="1:13" x14ac:dyDescent="0.3">
      <c r="A127" t="s">
        <v>406</v>
      </c>
      <c r="B127" t="s">
        <v>407</v>
      </c>
      <c r="C127" t="s">
        <v>70</v>
      </c>
      <c r="D127" t="s">
        <v>95</v>
      </c>
      <c r="E127" s="2" t="s">
        <v>408</v>
      </c>
      <c r="F127">
        <v>12</v>
      </c>
      <c r="G127" t="s">
        <v>20</v>
      </c>
      <c r="H127" s="2" t="s">
        <v>408</v>
      </c>
      <c r="I127">
        <v>4</v>
      </c>
      <c r="J127" t="str">
        <f>IF(Table1[[#This Row],[Resolution_Date]]="NA","Unresolved","Resolved")</f>
        <v>Resolved</v>
      </c>
      <c r="K127">
        <f>IF(Table1[[#This Row],[Resolution_Date]]="NA"," ",Table1[[#This Row],[Resolution_Date]]-Table1[[#This Row],[Complaint_Date]])</f>
        <v>0</v>
      </c>
      <c r="L127" t="str">
        <f>TEXT(Table1[[#This Row],[Complaint_Date]],"MMM")</f>
        <v>Jul</v>
      </c>
      <c r="M127" t="str">
        <f>IF(Table1[[#This Row],[Resolution_Time_Hours]]&lt;=24,"Fast",IF(Table1[[#This Row],[Resolution_Time_Hours]]&lt;=72,"Medium","Slow"))</f>
        <v>Fast</v>
      </c>
    </row>
    <row r="128" spans="1:13" x14ac:dyDescent="0.3">
      <c r="A128" t="s">
        <v>409</v>
      </c>
      <c r="B128" t="s">
        <v>410</v>
      </c>
      <c r="C128" t="s">
        <v>53</v>
      </c>
      <c r="D128" t="s">
        <v>38</v>
      </c>
      <c r="E128" s="2" t="s">
        <v>250</v>
      </c>
      <c r="F128">
        <v>12</v>
      </c>
      <c r="G128" t="s">
        <v>20</v>
      </c>
      <c r="H128" s="2" t="s">
        <v>250</v>
      </c>
      <c r="I128">
        <v>4</v>
      </c>
      <c r="J128" t="str">
        <f>IF(Table1[[#This Row],[Resolution_Date]]="NA","Unresolved","Resolved")</f>
        <v>Resolved</v>
      </c>
      <c r="K128">
        <f>IF(Table1[[#This Row],[Resolution_Date]]="NA"," ",Table1[[#This Row],[Resolution_Date]]-Table1[[#This Row],[Complaint_Date]])</f>
        <v>0</v>
      </c>
      <c r="L128" t="str">
        <f>TEXT(Table1[[#This Row],[Complaint_Date]],"MMM")</f>
        <v>Feb</v>
      </c>
      <c r="M128" t="str">
        <f>IF(Table1[[#This Row],[Resolution_Time_Hours]]&lt;=24,"Fast",IF(Table1[[#This Row],[Resolution_Time_Hours]]&lt;=72,"Medium","Slow"))</f>
        <v>Fast</v>
      </c>
    </row>
    <row r="129" spans="1:13" x14ac:dyDescent="0.3">
      <c r="A129" t="s">
        <v>411</v>
      </c>
      <c r="B129" t="s">
        <v>412</v>
      </c>
      <c r="C129" t="s">
        <v>11</v>
      </c>
      <c r="D129" t="s">
        <v>38</v>
      </c>
      <c r="E129" s="2" t="s">
        <v>413</v>
      </c>
      <c r="F129">
        <v>14</v>
      </c>
      <c r="G129" t="s">
        <v>40</v>
      </c>
      <c r="H129" s="2" t="s">
        <v>2820</v>
      </c>
      <c r="J129" t="str">
        <f>IF(Table1[[#This Row],[Resolution_Date]]="NA","Unresolved","Resolved")</f>
        <v>Unresolved</v>
      </c>
      <c r="K129" t="str">
        <f>IF(Table1[[#This Row],[Resolution_Date]]="NA"," ",Table1[[#This Row],[Resolution_Date]]-Table1[[#This Row],[Complaint_Date]])</f>
        <v xml:space="preserve"> </v>
      </c>
      <c r="L129" t="str">
        <f>TEXT(Table1[[#This Row],[Complaint_Date]],"MMM")</f>
        <v>Jun</v>
      </c>
      <c r="M129" t="str">
        <f>IF(Table1[[#This Row],[Resolution_Time_Hours]]&lt;=24,"Fast",IF(Table1[[#This Row],[Resolution_Time_Hours]]&lt;=72,"Medium","Slow"))</f>
        <v>Fast</v>
      </c>
    </row>
    <row r="130" spans="1:13" x14ac:dyDescent="0.3">
      <c r="A130" t="s">
        <v>414</v>
      </c>
      <c r="B130" t="s">
        <v>415</v>
      </c>
      <c r="C130" t="s">
        <v>34</v>
      </c>
      <c r="D130" t="s">
        <v>18</v>
      </c>
      <c r="E130" s="2" t="s">
        <v>173</v>
      </c>
      <c r="F130">
        <v>58</v>
      </c>
      <c r="G130" t="s">
        <v>20</v>
      </c>
      <c r="H130" s="2" t="s">
        <v>416</v>
      </c>
      <c r="I130">
        <v>1</v>
      </c>
      <c r="J130" t="str">
        <f>IF(Table1[[#This Row],[Resolution_Date]]="NA","Unresolved","Resolved")</f>
        <v>Resolved</v>
      </c>
      <c r="K130">
        <f>IF(Table1[[#This Row],[Resolution_Date]]="NA"," ",Table1[[#This Row],[Resolution_Date]]-Table1[[#This Row],[Complaint_Date]])</f>
        <v>2</v>
      </c>
      <c r="L130" t="str">
        <f>TEXT(Table1[[#This Row],[Complaint_Date]],"MMM")</f>
        <v>Dec</v>
      </c>
      <c r="M130" t="str">
        <f>IF(Table1[[#This Row],[Resolution_Time_Hours]]&lt;=24,"Fast",IF(Table1[[#This Row],[Resolution_Time_Hours]]&lt;=72,"Medium","Slow"))</f>
        <v>Medium</v>
      </c>
    </row>
    <row r="131" spans="1:13" x14ac:dyDescent="0.3">
      <c r="A131" t="s">
        <v>417</v>
      </c>
      <c r="B131" t="s">
        <v>418</v>
      </c>
      <c r="C131" t="s">
        <v>11</v>
      </c>
      <c r="D131" t="s">
        <v>38</v>
      </c>
      <c r="E131" s="2" t="s">
        <v>419</v>
      </c>
      <c r="F131">
        <v>47</v>
      </c>
      <c r="G131" t="s">
        <v>20</v>
      </c>
      <c r="H131" s="2" t="s">
        <v>420</v>
      </c>
      <c r="I131">
        <v>2</v>
      </c>
      <c r="J131" t="str">
        <f>IF(Table1[[#This Row],[Resolution_Date]]="NA","Unresolved","Resolved")</f>
        <v>Resolved</v>
      </c>
      <c r="K131">
        <f>IF(Table1[[#This Row],[Resolution_Date]]="NA"," ",Table1[[#This Row],[Resolution_Date]]-Table1[[#This Row],[Complaint_Date]])</f>
        <v>1</v>
      </c>
      <c r="L131" t="str">
        <f>TEXT(Table1[[#This Row],[Complaint_Date]],"MMM")</f>
        <v>Mar</v>
      </c>
      <c r="M131" t="str">
        <f>IF(Table1[[#This Row],[Resolution_Time_Hours]]&lt;=24,"Fast",IF(Table1[[#This Row],[Resolution_Time_Hours]]&lt;=72,"Medium","Slow"))</f>
        <v>Medium</v>
      </c>
    </row>
    <row r="132" spans="1:13" x14ac:dyDescent="0.3">
      <c r="A132" t="s">
        <v>421</v>
      </c>
      <c r="B132" t="s">
        <v>422</v>
      </c>
      <c r="C132" t="s">
        <v>17</v>
      </c>
      <c r="D132" t="s">
        <v>18</v>
      </c>
      <c r="E132" s="2" t="s">
        <v>423</v>
      </c>
      <c r="F132">
        <v>36</v>
      </c>
      <c r="G132" t="s">
        <v>14</v>
      </c>
      <c r="H132" s="2" t="s">
        <v>2820</v>
      </c>
      <c r="J132" t="str">
        <f>IF(Table1[[#This Row],[Resolution_Date]]="NA","Unresolved","Resolved")</f>
        <v>Unresolved</v>
      </c>
      <c r="K132" t="str">
        <f>IF(Table1[[#This Row],[Resolution_Date]]="NA"," ",Table1[[#This Row],[Resolution_Date]]-Table1[[#This Row],[Complaint_Date]])</f>
        <v xml:space="preserve"> </v>
      </c>
      <c r="L132" t="str">
        <f>TEXT(Table1[[#This Row],[Complaint_Date]],"MMM")</f>
        <v>Apr</v>
      </c>
      <c r="M132" t="str">
        <f>IF(Table1[[#This Row],[Resolution_Time_Hours]]&lt;=24,"Fast",IF(Table1[[#This Row],[Resolution_Time_Hours]]&lt;=72,"Medium","Slow"))</f>
        <v>Medium</v>
      </c>
    </row>
    <row r="133" spans="1:13" x14ac:dyDescent="0.3">
      <c r="A133" t="s">
        <v>424</v>
      </c>
      <c r="B133" t="s">
        <v>425</v>
      </c>
      <c r="C133" t="s">
        <v>70</v>
      </c>
      <c r="D133" t="s">
        <v>95</v>
      </c>
      <c r="E133" s="2" t="s">
        <v>280</v>
      </c>
      <c r="F133">
        <v>23</v>
      </c>
      <c r="G133" t="s">
        <v>20</v>
      </c>
      <c r="H133" s="2" t="s">
        <v>280</v>
      </c>
      <c r="I133">
        <v>3</v>
      </c>
      <c r="J133" t="str">
        <f>IF(Table1[[#This Row],[Resolution_Date]]="NA","Unresolved","Resolved")</f>
        <v>Resolved</v>
      </c>
      <c r="K133">
        <f>IF(Table1[[#This Row],[Resolution_Date]]="NA"," ",Table1[[#This Row],[Resolution_Date]]-Table1[[#This Row],[Complaint_Date]])</f>
        <v>0</v>
      </c>
      <c r="L133" t="str">
        <f>TEXT(Table1[[#This Row],[Complaint_Date]],"MMM")</f>
        <v>Oct</v>
      </c>
      <c r="M133" t="str">
        <f>IF(Table1[[#This Row],[Resolution_Time_Hours]]&lt;=24,"Fast",IF(Table1[[#This Row],[Resolution_Time_Hours]]&lt;=72,"Medium","Slow"))</f>
        <v>Fast</v>
      </c>
    </row>
    <row r="134" spans="1:13" x14ac:dyDescent="0.3">
      <c r="A134" t="s">
        <v>426</v>
      </c>
      <c r="B134" t="s">
        <v>427</v>
      </c>
      <c r="C134" t="s">
        <v>43</v>
      </c>
      <c r="D134" t="s">
        <v>38</v>
      </c>
      <c r="E134" s="2" t="s">
        <v>428</v>
      </c>
      <c r="F134">
        <v>62</v>
      </c>
      <c r="G134" t="s">
        <v>20</v>
      </c>
      <c r="H134" s="2" t="s">
        <v>380</v>
      </c>
      <c r="I134">
        <v>5</v>
      </c>
      <c r="J134" t="str">
        <f>IF(Table1[[#This Row],[Resolution_Date]]="NA","Unresolved","Resolved")</f>
        <v>Resolved</v>
      </c>
      <c r="K134">
        <f>IF(Table1[[#This Row],[Resolution_Date]]="NA"," ",Table1[[#This Row],[Resolution_Date]]-Table1[[#This Row],[Complaint_Date]])</f>
        <v>2</v>
      </c>
      <c r="L134" t="str">
        <f>TEXT(Table1[[#This Row],[Complaint_Date]],"MMM")</f>
        <v>Apr</v>
      </c>
      <c r="M134" t="str">
        <f>IF(Table1[[#This Row],[Resolution_Time_Hours]]&lt;=24,"Fast",IF(Table1[[#This Row],[Resolution_Time_Hours]]&lt;=72,"Medium","Slow"))</f>
        <v>Medium</v>
      </c>
    </row>
    <row r="135" spans="1:13" x14ac:dyDescent="0.3">
      <c r="A135" t="s">
        <v>429</v>
      </c>
      <c r="B135" t="s">
        <v>430</v>
      </c>
      <c r="C135" t="s">
        <v>70</v>
      </c>
      <c r="D135" t="s">
        <v>27</v>
      </c>
      <c r="E135" s="2" t="s">
        <v>431</v>
      </c>
      <c r="F135">
        <v>20</v>
      </c>
      <c r="G135" t="s">
        <v>40</v>
      </c>
      <c r="H135" s="2" t="s">
        <v>2820</v>
      </c>
      <c r="J135" t="str">
        <f>IF(Table1[[#This Row],[Resolution_Date]]="NA","Unresolved","Resolved")</f>
        <v>Unresolved</v>
      </c>
      <c r="K135" t="str">
        <f>IF(Table1[[#This Row],[Resolution_Date]]="NA"," ",Table1[[#This Row],[Resolution_Date]]-Table1[[#This Row],[Complaint_Date]])</f>
        <v xml:space="preserve"> </v>
      </c>
      <c r="L135" t="str">
        <f>TEXT(Table1[[#This Row],[Complaint_Date]],"MMM")</f>
        <v>Oct</v>
      </c>
      <c r="M135" t="str">
        <f>IF(Table1[[#This Row],[Resolution_Time_Hours]]&lt;=24,"Fast",IF(Table1[[#This Row],[Resolution_Time_Hours]]&lt;=72,"Medium","Slow"))</f>
        <v>Fast</v>
      </c>
    </row>
    <row r="136" spans="1:13" x14ac:dyDescent="0.3">
      <c r="A136" t="s">
        <v>432</v>
      </c>
      <c r="B136" t="s">
        <v>433</v>
      </c>
      <c r="C136" t="s">
        <v>110</v>
      </c>
      <c r="D136" t="s">
        <v>12</v>
      </c>
      <c r="E136" s="2" t="s">
        <v>434</v>
      </c>
      <c r="F136">
        <v>14</v>
      </c>
      <c r="G136" t="s">
        <v>20</v>
      </c>
      <c r="H136" s="2" t="s">
        <v>434</v>
      </c>
      <c r="I136">
        <v>3</v>
      </c>
      <c r="J136" t="str">
        <f>IF(Table1[[#This Row],[Resolution_Date]]="NA","Unresolved","Resolved")</f>
        <v>Resolved</v>
      </c>
      <c r="K136">
        <f>IF(Table1[[#This Row],[Resolution_Date]]="NA"," ",Table1[[#This Row],[Resolution_Date]]-Table1[[#This Row],[Complaint_Date]])</f>
        <v>0</v>
      </c>
      <c r="L136" t="str">
        <f>TEXT(Table1[[#This Row],[Complaint_Date]],"MMM")</f>
        <v>Jul</v>
      </c>
      <c r="M136" t="str">
        <f>IF(Table1[[#This Row],[Resolution_Time_Hours]]&lt;=24,"Fast",IF(Table1[[#This Row],[Resolution_Time_Hours]]&lt;=72,"Medium","Slow"))</f>
        <v>Fast</v>
      </c>
    </row>
    <row r="137" spans="1:13" x14ac:dyDescent="0.3">
      <c r="A137" t="s">
        <v>435</v>
      </c>
      <c r="B137" t="s">
        <v>436</v>
      </c>
      <c r="C137" t="s">
        <v>70</v>
      </c>
      <c r="D137" t="s">
        <v>18</v>
      </c>
      <c r="E137" s="2" t="s">
        <v>437</v>
      </c>
      <c r="F137">
        <v>19</v>
      </c>
      <c r="G137" t="s">
        <v>14</v>
      </c>
      <c r="H137" s="2" t="s">
        <v>2820</v>
      </c>
      <c r="J137" t="str">
        <f>IF(Table1[[#This Row],[Resolution_Date]]="NA","Unresolved","Resolved")</f>
        <v>Unresolved</v>
      </c>
      <c r="K137" t="str">
        <f>IF(Table1[[#This Row],[Resolution_Date]]="NA"," ",Table1[[#This Row],[Resolution_Date]]-Table1[[#This Row],[Complaint_Date]])</f>
        <v xml:space="preserve"> </v>
      </c>
      <c r="L137" t="str">
        <f>TEXT(Table1[[#This Row],[Complaint_Date]],"MMM")</f>
        <v>Oct</v>
      </c>
      <c r="M137" t="str">
        <f>IF(Table1[[#This Row],[Resolution_Time_Hours]]&lt;=24,"Fast",IF(Table1[[#This Row],[Resolution_Time_Hours]]&lt;=72,"Medium","Slow"))</f>
        <v>Fast</v>
      </c>
    </row>
    <row r="138" spans="1:13" x14ac:dyDescent="0.3">
      <c r="A138" t="s">
        <v>438</v>
      </c>
      <c r="B138" t="s">
        <v>439</v>
      </c>
      <c r="C138" t="s">
        <v>17</v>
      </c>
      <c r="D138" t="s">
        <v>27</v>
      </c>
      <c r="E138" s="2" t="s">
        <v>440</v>
      </c>
      <c r="F138">
        <v>33</v>
      </c>
      <c r="G138" t="s">
        <v>20</v>
      </c>
      <c r="H138" s="2" t="s">
        <v>441</v>
      </c>
      <c r="I138">
        <v>2</v>
      </c>
      <c r="J138" t="str">
        <f>IF(Table1[[#This Row],[Resolution_Date]]="NA","Unresolved","Resolved")</f>
        <v>Resolved</v>
      </c>
      <c r="K138">
        <f>IF(Table1[[#This Row],[Resolution_Date]]="NA"," ",Table1[[#This Row],[Resolution_Date]]-Table1[[#This Row],[Complaint_Date]])</f>
        <v>1</v>
      </c>
      <c r="L138" t="str">
        <f>TEXT(Table1[[#This Row],[Complaint_Date]],"MMM")</f>
        <v>Sep</v>
      </c>
      <c r="M138" t="str">
        <f>IF(Table1[[#This Row],[Resolution_Time_Hours]]&lt;=24,"Fast",IF(Table1[[#This Row],[Resolution_Time_Hours]]&lt;=72,"Medium","Slow"))</f>
        <v>Medium</v>
      </c>
    </row>
    <row r="139" spans="1:13" x14ac:dyDescent="0.3">
      <c r="A139" t="s">
        <v>442</v>
      </c>
      <c r="B139" t="s">
        <v>443</v>
      </c>
      <c r="C139" t="s">
        <v>53</v>
      </c>
      <c r="D139" t="s">
        <v>95</v>
      </c>
      <c r="E139" s="2" t="s">
        <v>165</v>
      </c>
      <c r="F139">
        <v>6</v>
      </c>
      <c r="G139" t="s">
        <v>20</v>
      </c>
      <c r="H139" s="2" t="s">
        <v>165</v>
      </c>
      <c r="I139">
        <v>5</v>
      </c>
      <c r="J139" t="str">
        <f>IF(Table1[[#This Row],[Resolution_Date]]="NA","Unresolved","Resolved")</f>
        <v>Resolved</v>
      </c>
      <c r="K139">
        <f>IF(Table1[[#This Row],[Resolution_Date]]="NA"," ",Table1[[#This Row],[Resolution_Date]]-Table1[[#This Row],[Complaint_Date]])</f>
        <v>0</v>
      </c>
      <c r="L139" t="str">
        <f>TEXT(Table1[[#This Row],[Complaint_Date]],"MMM")</f>
        <v>May</v>
      </c>
      <c r="M139" t="str">
        <f>IF(Table1[[#This Row],[Resolution_Time_Hours]]&lt;=24,"Fast",IF(Table1[[#This Row],[Resolution_Time_Hours]]&lt;=72,"Medium","Slow"))</f>
        <v>Fast</v>
      </c>
    </row>
    <row r="140" spans="1:13" x14ac:dyDescent="0.3">
      <c r="A140" t="s">
        <v>444</v>
      </c>
      <c r="B140" t="s">
        <v>445</v>
      </c>
      <c r="C140" t="s">
        <v>43</v>
      </c>
      <c r="D140" t="s">
        <v>38</v>
      </c>
      <c r="E140" s="2" t="s">
        <v>446</v>
      </c>
      <c r="F140">
        <v>36</v>
      </c>
      <c r="G140" t="s">
        <v>40</v>
      </c>
      <c r="H140" s="2" t="s">
        <v>2820</v>
      </c>
      <c r="J140" t="str">
        <f>IF(Table1[[#This Row],[Resolution_Date]]="NA","Unresolved","Resolved")</f>
        <v>Unresolved</v>
      </c>
      <c r="K140" t="str">
        <f>IF(Table1[[#This Row],[Resolution_Date]]="NA"," ",Table1[[#This Row],[Resolution_Date]]-Table1[[#This Row],[Complaint_Date]])</f>
        <v xml:space="preserve"> </v>
      </c>
      <c r="L140" t="str">
        <f>TEXT(Table1[[#This Row],[Complaint_Date]],"MMM")</f>
        <v>Nov</v>
      </c>
      <c r="M140" t="str">
        <f>IF(Table1[[#This Row],[Resolution_Time_Hours]]&lt;=24,"Fast",IF(Table1[[#This Row],[Resolution_Time_Hours]]&lt;=72,"Medium","Slow"))</f>
        <v>Medium</v>
      </c>
    </row>
    <row r="141" spans="1:13" x14ac:dyDescent="0.3">
      <c r="A141" t="s">
        <v>447</v>
      </c>
      <c r="B141" t="s">
        <v>448</v>
      </c>
      <c r="C141" t="s">
        <v>17</v>
      </c>
      <c r="D141" t="s">
        <v>27</v>
      </c>
      <c r="E141" s="2" t="s">
        <v>449</v>
      </c>
      <c r="F141">
        <v>29</v>
      </c>
      <c r="G141" t="s">
        <v>20</v>
      </c>
      <c r="H141" s="2" t="s">
        <v>385</v>
      </c>
      <c r="I141">
        <v>5</v>
      </c>
      <c r="J141" t="str">
        <f>IF(Table1[[#This Row],[Resolution_Date]]="NA","Unresolved","Resolved")</f>
        <v>Resolved</v>
      </c>
      <c r="K141">
        <f>IF(Table1[[#This Row],[Resolution_Date]]="NA"," ",Table1[[#This Row],[Resolution_Date]]-Table1[[#This Row],[Complaint_Date]])</f>
        <v>1</v>
      </c>
      <c r="L141" t="str">
        <f>TEXT(Table1[[#This Row],[Complaint_Date]],"MMM")</f>
        <v>Jun</v>
      </c>
      <c r="M141" t="str">
        <f>IF(Table1[[#This Row],[Resolution_Time_Hours]]&lt;=24,"Fast",IF(Table1[[#This Row],[Resolution_Time_Hours]]&lt;=72,"Medium","Slow"))</f>
        <v>Medium</v>
      </c>
    </row>
    <row r="142" spans="1:13" x14ac:dyDescent="0.3">
      <c r="A142" t="s">
        <v>450</v>
      </c>
      <c r="B142" t="s">
        <v>451</v>
      </c>
      <c r="C142" t="s">
        <v>53</v>
      </c>
      <c r="D142" t="s">
        <v>12</v>
      </c>
      <c r="E142" s="2" t="s">
        <v>452</v>
      </c>
      <c r="F142">
        <v>3</v>
      </c>
      <c r="G142" t="s">
        <v>40</v>
      </c>
      <c r="H142" s="2" t="s">
        <v>2820</v>
      </c>
      <c r="J142" t="str">
        <f>IF(Table1[[#This Row],[Resolution_Date]]="NA","Unresolved","Resolved")</f>
        <v>Unresolved</v>
      </c>
      <c r="K142" t="str">
        <f>IF(Table1[[#This Row],[Resolution_Date]]="NA"," ",Table1[[#This Row],[Resolution_Date]]-Table1[[#This Row],[Complaint_Date]])</f>
        <v xml:space="preserve"> </v>
      </c>
      <c r="L142" t="str">
        <f>TEXT(Table1[[#This Row],[Complaint_Date]],"MMM")</f>
        <v>Dec</v>
      </c>
      <c r="M142" t="str">
        <f>IF(Table1[[#This Row],[Resolution_Time_Hours]]&lt;=24,"Fast",IF(Table1[[#This Row],[Resolution_Time_Hours]]&lt;=72,"Medium","Slow"))</f>
        <v>Fast</v>
      </c>
    </row>
    <row r="143" spans="1:13" x14ac:dyDescent="0.3">
      <c r="A143" t="s">
        <v>453</v>
      </c>
      <c r="B143" t="s">
        <v>454</v>
      </c>
      <c r="C143" t="s">
        <v>34</v>
      </c>
      <c r="D143" t="s">
        <v>18</v>
      </c>
      <c r="E143" s="2" t="s">
        <v>86</v>
      </c>
      <c r="F143">
        <v>76</v>
      </c>
      <c r="G143" t="s">
        <v>14</v>
      </c>
      <c r="H143" s="2" t="s">
        <v>2820</v>
      </c>
      <c r="J143" t="str">
        <f>IF(Table1[[#This Row],[Resolution_Date]]="NA","Unresolved","Resolved")</f>
        <v>Unresolved</v>
      </c>
      <c r="K143" t="str">
        <f>IF(Table1[[#This Row],[Resolution_Date]]="NA"," ",Table1[[#This Row],[Resolution_Date]]-Table1[[#This Row],[Complaint_Date]])</f>
        <v xml:space="preserve"> </v>
      </c>
      <c r="L143" t="str">
        <f>TEXT(Table1[[#This Row],[Complaint_Date]],"MMM")</f>
        <v>Mar</v>
      </c>
      <c r="M143" t="str">
        <f>IF(Table1[[#This Row],[Resolution_Time_Hours]]&lt;=24,"Fast",IF(Table1[[#This Row],[Resolution_Time_Hours]]&lt;=72,"Medium","Slow"))</f>
        <v>Slow</v>
      </c>
    </row>
    <row r="144" spans="1:13" x14ac:dyDescent="0.3">
      <c r="A144" t="s">
        <v>455</v>
      </c>
      <c r="B144" t="s">
        <v>456</v>
      </c>
      <c r="C144" t="s">
        <v>70</v>
      </c>
      <c r="D144" t="s">
        <v>95</v>
      </c>
      <c r="E144" s="2" t="s">
        <v>120</v>
      </c>
      <c r="F144">
        <v>22</v>
      </c>
      <c r="G144" t="s">
        <v>14</v>
      </c>
      <c r="H144" s="2" t="s">
        <v>2820</v>
      </c>
      <c r="J144" t="str">
        <f>IF(Table1[[#This Row],[Resolution_Date]]="NA","Unresolved","Resolved")</f>
        <v>Unresolved</v>
      </c>
      <c r="K144" t="str">
        <f>IF(Table1[[#This Row],[Resolution_Date]]="NA"," ",Table1[[#This Row],[Resolution_Date]]-Table1[[#This Row],[Complaint_Date]])</f>
        <v xml:space="preserve"> </v>
      </c>
      <c r="L144" t="str">
        <f>TEXT(Table1[[#This Row],[Complaint_Date]],"MMM")</f>
        <v>Jul</v>
      </c>
      <c r="M144" t="str">
        <f>IF(Table1[[#This Row],[Resolution_Time_Hours]]&lt;=24,"Fast",IF(Table1[[#This Row],[Resolution_Time_Hours]]&lt;=72,"Medium","Slow"))</f>
        <v>Fast</v>
      </c>
    </row>
    <row r="145" spans="1:13" x14ac:dyDescent="0.3">
      <c r="A145" t="s">
        <v>457</v>
      </c>
      <c r="B145" t="s">
        <v>458</v>
      </c>
      <c r="C145" t="s">
        <v>43</v>
      </c>
      <c r="D145" t="s">
        <v>38</v>
      </c>
      <c r="E145" s="2" t="s">
        <v>92</v>
      </c>
      <c r="F145">
        <v>29</v>
      </c>
      <c r="G145" t="s">
        <v>20</v>
      </c>
      <c r="H145" s="2" t="s">
        <v>85</v>
      </c>
      <c r="I145">
        <v>2</v>
      </c>
      <c r="J145" t="str">
        <f>IF(Table1[[#This Row],[Resolution_Date]]="NA","Unresolved","Resolved")</f>
        <v>Resolved</v>
      </c>
      <c r="K145">
        <f>IF(Table1[[#This Row],[Resolution_Date]]="NA"," ",Table1[[#This Row],[Resolution_Date]]-Table1[[#This Row],[Complaint_Date]])</f>
        <v>1</v>
      </c>
      <c r="L145" t="str">
        <f>TEXT(Table1[[#This Row],[Complaint_Date]],"MMM")</f>
        <v>Feb</v>
      </c>
      <c r="M145" t="str">
        <f>IF(Table1[[#This Row],[Resolution_Time_Hours]]&lt;=24,"Fast",IF(Table1[[#This Row],[Resolution_Time_Hours]]&lt;=72,"Medium","Slow"))</f>
        <v>Medium</v>
      </c>
    </row>
    <row r="146" spans="1:13" x14ac:dyDescent="0.3">
      <c r="A146" t="s">
        <v>459</v>
      </c>
      <c r="B146" t="s">
        <v>460</v>
      </c>
      <c r="C146" t="s">
        <v>17</v>
      </c>
      <c r="D146" t="s">
        <v>18</v>
      </c>
      <c r="E146" s="2" t="s">
        <v>159</v>
      </c>
      <c r="F146">
        <v>27</v>
      </c>
      <c r="G146" t="s">
        <v>40</v>
      </c>
      <c r="H146" s="2" t="s">
        <v>2820</v>
      </c>
      <c r="J146" t="str">
        <f>IF(Table1[[#This Row],[Resolution_Date]]="NA","Unresolved","Resolved")</f>
        <v>Unresolved</v>
      </c>
      <c r="K146" t="str">
        <f>IF(Table1[[#This Row],[Resolution_Date]]="NA"," ",Table1[[#This Row],[Resolution_Date]]-Table1[[#This Row],[Complaint_Date]])</f>
        <v xml:space="preserve"> </v>
      </c>
      <c r="L146" t="str">
        <f>TEXT(Table1[[#This Row],[Complaint_Date]],"MMM")</f>
        <v>May</v>
      </c>
      <c r="M146" t="str">
        <f>IF(Table1[[#This Row],[Resolution_Time_Hours]]&lt;=24,"Fast",IF(Table1[[#This Row],[Resolution_Time_Hours]]&lt;=72,"Medium","Slow"))</f>
        <v>Medium</v>
      </c>
    </row>
    <row r="147" spans="1:13" x14ac:dyDescent="0.3">
      <c r="A147" t="s">
        <v>461</v>
      </c>
      <c r="B147" t="s">
        <v>462</v>
      </c>
      <c r="C147" t="s">
        <v>11</v>
      </c>
      <c r="D147" t="s">
        <v>18</v>
      </c>
      <c r="E147" s="2" t="s">
        <v>463</v>
      </c>
      <c r="F147">
        <v>6</v>
      </c>
      <c r="G147" t="s">
        <v>20</v>
      </c>
      <c r="H147" s="2" t="s">
        <v>463</v>
      </c>
      <c r="I147">
        <v>5</v>
      </c>
      <c r="J147" t="str">
        <f>IF(Table1[[#This Row],[Resolution_Date]]="NA","Unresolved","Resolved")</f>
        <v>Resolved</v>
      </c>
      <c r="K147">
        <f>IF(Table1[[#This Row],[Resolution_Date]]="NA"," ",Table1[[#This Row],[Resolution_Date]]-Table1[[#This Row],[Complaint_Date]])</f>
        <v>0</v>
      </c>
      <c r="L147" t="str">
        <f>TEXT(Table1[[#This Row],[Complaint_Date]],"MMM")</f>
        <v>Aug</v>
      </c>
      <c r="M147" t="str">
        <f>IF(Table1[[#This Row],[Resolution_Time_Hours]]&lt;=24,"Fast",IF(Table1[[#This Row],[Resolution_Time_Hours]]&lt;=72,"Medium","Slow"))</f>
        <v>Fast</v>
      </c>
    </row>
    <row r="148" spans="1:13" x14ac:dyDescent="0.3">
      <c r="A148" t="s">
        <v>464</v>
      </c>
      <c r="B148" t="s">
        <v>465</v>
      </c>
      <c r="C148" t="s">
        <v>17</v>
      </c>
      <c r="D148" t="s">
        <v>12</v>
      </c>
      <c r="E148" s="2" t="s">
        <v>186</v>
      </c>
      <c r="F148">
        <v>26</v>
      </c>
      <c r="G148" t="s">
        <v>20</v>
      </c>
      <c r="H148" s="2" t="s">
        <v>466</v>
      </c>
      <c r="I148">
        <v>2</v>
      </c>
      <c r="J148" t="str">
        <f>IF(Table1[[#This Row],[Resolution_Date]]="NA","Unresolved","Resolved")</f>
        <v>Resolved</v>
      </c>
      <c r="K148">
        <f>IF(Table1[[#This Row],[Resolution_Date]]="NA"," ",Table1[[#This Row],[Resolution_Date]]-Table1[[#This Row],[Complaint_Date]])</f>
        <v>1</v>
      </c>
      <c r="L148" t="str">
        <f>TEXT(Table1[[#This Row],[Complaint_Date]],"MMM")</f>
        <v>Dec</v>
      </c>
      <c r="M148" t="str">
        <f>IF(Table1[[#This Row],[Resolution_Time_Hours]]&lt;=24,"Fast",IF(Table1[[#This Row],[Resolution_Time_Hours]]&lt;=72,"Medium","Slow"))</f>
        <v>Medium</v>
      </c>
    </row>
    <row r="149" spans="1:13" x14ac:dyDescent="0.3">
      <c r="A149" t="s">
        <v>467</v>
      </c>
      <c r="B149" t="s">
        <v>468</v>
      </c>
      <c r="C149" t="s">
        <v>17</v>
      </c>
      <c r="D149" t="s">
        <v>38</v>
      </c>
      <c r="E149" s="2" t="s">
        <v>469</v>
      </c>
      <c r="F149">
        <v>20</v>
      </c>
      <c r="G149" t="s">
        <v>20</v>
      </c>
      <c r="H149" s="2" t="s">
        <v>469</v>
      </c>
      <c r="I149">
        <v>3</v>
      </c>
      <c r="J149" t="str">
        <f>IF(Table1[[#This Row],[Resolution_Date]]="NA","Unresolved","Resolved")</f>
        <v>Resolved</v>
      </c>
      <c r="K149">
        <f>IF(Table1[[#This Row],[Resolution_Date]]="NA"," ",Table1[[#This Row],[Resolution_Date]]-Table1[[#This Row],[Complaint_Date]])</f>
        <v>0</v>
      </c>
      <c r="L149" t="str">
        <f>TEXT(Table1[[#This Row],[Complaint_Date]],"MMM")</f>
        <v>Oct</v>
      </c>
      <c r="M149" t="str">
        <f>IF(Table1[[#This Row],[Resolution_Time_Hours]]&lt;=24,"Fast",IF(Table1[[#This Row],[Resolution_Time_Hours]]&lt;=72,"Medium","Slow"))</f>
        <v>Fast</v>
      </c>
    </row>
    <row r="150" spans="1:13" x14ac:dyDescent="0.3">
      <c r="A150" t="s">
        <v>470</v>
      </c>
      <c r="B150" t="s">
        <v>471</v>
      </c>
      <c r="C150" t="s">
        <v>70</v>
      </c>
      <c r="D150" t="s">
        <v>95</v>
      </c>
      <c r="E150" s="2" t="s">
        <v>223</v>
      </c>
      <c r="F150">
        <v>23</v>
      </c>
      <c r="G150" t="s">
        <v>20</v>
      </c>
      <c r="H150" s="2" t="s">
        <v>223</v>
      </c>
      <c r="I150">
        <v>3</v>
      </c>
      <c r="J150" t="str">
        <f>IF(Table1[[#This Row],[Resolution_Date]]="NA","Unresolved","Resolved")</f>
        <v>Resolved</v>
      </c>
      <c r="K150">
        <f>IF(Table1[[#This Row],[Resolution_Date]]="NA"," ",Table1[[#This Row],[Resolution_Date]]-Table1[[#This Row],[Complaint_Date]])</f>
        <v>0</v>
      </c>
      <c r="L150" t="str">
        <f>TEXT(Table1[[#This Row],[Complaint_Date]],"MMM")</f>
        <v>Dec</v>
      </c>
      <c r="M150" t="str">
        <f>IF(Table1[[#This Row],[Resolution_Time_Hours]]&lt;=24,"Fast",IF(Table1[[#This Row],[Resolution_Time_Hours]]&lt;=72,"Medium","Slow"))</f>
        <v>Fast</v>
      </c>
    </row>
    <row r="151" spans="1:13" x14ac:dyDescent="0.3">
      <c r="A151" t="s">
        <v>472</v>
      </c>
      <c r="B151" t="s">
        <v>473</v>
      </c>
      <c r="C151" t="s">
        <v>17</v>
      </c>
      <c r="D151" t="s">
        <v>27</v>
      </c>
      <c r="E151" s="2" t="s">
        <v>469</v>
      </c>
      <c r="F151">
        <v>29</v>
      </c>
      <c r="G151" t="s">
        <v>20</v>
      </c>
      <c r="H151" s="2" t="s">
        <v>474</v>
      </c>
      <c r="I151">
        <v>2</v>
      </c>
      <c r="J151" t="str">
        <f>IF(Table1[[#This Row],[Resolution_Date]]="NA","Unresolved","Resolved")</f>
        <v>Resolved</v>
      </c>
      <c r="K151">
        <f>IF(Table1[[#This Row],[Resolution_Date]]="NA"," ",Table1[[#This Row],[Resolution_Date]]-Table1[[#This Row],[Complaint_Date]])</f>
        <v>1</v>
      </c>
      <c r="L151" t="str">
        <f>TEXT(Table1[[#This Row],[Complaint_Date]],"MMM")</f>
        <v>Oct</v>
      </c>
      <c r="M151" t="str">
        <f>IF(Table1[[#This Row],[Resolution_Time_Hours]]&lt;=24,"Fast",IF(Table1[[#This Row],[Resolution_Time_Hours]]&lt;=72,"Medium","Slow"))</f>
        <v>Medium</v>
      </c>
    </row>
    <row r="152" spans="1:13" x14ac:dyDescent="0.3">
      <c r="A152" t="s">
        <v>475</v>
      </c>
      <c r="B152" t="s">
        <v>476</v>
      </c>
      <c r="C152" t="s">
        <v>11</v>
      </c>
      <c r="D152" t="s">
        <v>95</v>
      </c>
      <c r="E152" s="2" t="s">
        <v>477</v>
      </c>
      <c r="F152">
        <v>31</v>
      </c>
      <c r="G152" t="s">
        <v>40</v>
      </c>
      <c r="H152" s="2" t="s">
        <v>2820</v>
      </c>
      <c r="J152" t="str">
        <f>IF(Table1[[#This Row],[Resolution_Date]]="NA","Unresolved","Resolved")</f>
        <v>Unresolved</v>
      </c>
      <c r="K152" t="str">
        <f>IF(Table1[[#This Row],[Resolution_Date]]="NA"," ",Table1[[#This Row],[Resolution_Date]]-Table1[[#This Row],[Complaint_Date]])</f>
        <v xml:space="preserve"> </v>
      </c>
      <c r="L152" t="str">
        <f>TEXT(Table1[[#This Row],[Complaint_Date]],"MMM")</f>
        <v>Oct</v>
      </c>
      <c r="M152" t="str">
        <f>IF(Table1[[#This Row],[Resolution_Time_Hours]]&lt;=24,"Fast",IF(Table1[[#This Row],[Resolution_Time_Hours]]&lt;=72,"Medium","Slow"))</f>
        <v>Medium</v>
      </c>
    </row>
    <row r="153" spans="1:13" x14ac:dyDescent="0.3">
      <c r="A153" t="s">
        <v>478</v>
      </c>
      <c r="B153" t="s">
        <v>479</v>
      </c>
      <c r="C153" t="s">
        <v>11</v>
      </c>
      <c r="D153" t="s">
        <v>27</v>
      </c>
      <c r="E153" s="2" t="s">
        <v>480</v>
      </c>
      <c r="F153">
        <v>43</v>
      </c>
      <c r="G153" t="s">
        <v>20</v>
      </c>
      <c r="H153" s="2" t="s">
        <v>373</v>
      </c>
      <c r="I153">
        <v>2</v>
      </c>
      <c r="J153" t="str">
        <f>IF(Table1[[#This Row],[Resolution_Date]]="NA","Unresolved","Resolved")</f>
        <v>Resolved</v>
      </c>
      <c r="K153">
        <f>IF(Table1[[#This Row],[Resolution_Date]]="NA"," ",Table1[[#This Row],[Resolution_Date]]-Table1[[#This Row],[Complaint_Date]])</f>
        <v>1</v>
      </c>
      <c r="L153" t="str">
        <f>TEXT(Table1[[#This Row],[Complaint_Date]],"MMM")</f>
        <v>Sep</v>
      </c>
      <c r="M153" t="str">
        <f>IF(Table1[[#This Row],[Resolution_Time_Hours]]&lt;=24,"Fast",IF(Table1[[#This Row],[Resolution_Time_Hours]]&lt;=72,"Medium","Slow"))</f>
        <v>Medium</v>
      </c>
    </row>
    <row r="154" spans="1:13" x14ac:dyDescent="0.3">
      <c r="A154" t="s">
        <v>481</v>
      </c>
      <c r="B154" t="s">
        <v>482</v>
      </c>
      <c r="C154" t="s">
        <v>34</v>
      </c>
      <c r="D154" t="s">
        <v>95</v>
      </c>
      <c r="E154" s="2" t="s">
        <v>273</v>
      </c>
      <c r="F154">
        <v>52</v>
      </c>
      <c r="G154" t="s">
        <v>20</v>
      </c>
      <c r="H154" s="2" t="s">
        <v>274</v>
      </c>
      <c r="I154">
        <v>1</v>
      </c>
      <c r="J154" t="str">
        <f>IF(Table1[[#This Row],[Resolution_Date]]="NA","Unresolved","Resolved")</f>
        <v>Resolved</v>
      </c>
      <c r="K154">
        <f>IF(Table1[[#This Row],[Resolution_Date]]="NA"," ",Table1[[#This Row],[Resolution_Date]]-Table1[[#This Row],[Complaint_Date]])</f>
        <v>2</v>
      </c>
      <c r="L154" t="str">
        <f>TEXT(Table1[[#This Row],[Complaint_Date]],"MMM")</f>
        <v>Nov</v>
      </c>
      <c r="M154" t="str">
        <f>IF(Table1[[#This Row],[Resolution_Time_Hours]]&lt;=24,"Fast",IF(Table1[[#This Row],[Resolution_Time_Hours]]&lt;=72,"Medium","Slow"))</f>
        <v>Medium</v>
      </c>
    </row>
    <row r="155" spans="1:13" x14ac:dyDescent="0.3">
      <c r="A155" t="s">
        <v>483</v>
      </c>
      <c r="B155" t="s">
        <v>484</v>
      </c>
      <c r="C155" t="s">
        <v>34</v>
      </c>
      <c r="D155" t="s">
        <v>95</v>
      </c>
      <c r="E155" s="2" t="s">
        <v>386</v>
      </c>
      <c r="F155">
        <v>43</v>
      </c>
      <c r="G155" t="s">
        <v>20</v>
      </c>
      <c r="H155" s="2" t="s">
        <v>376</v>
      </c>
      <c r="I155">
        <v>5</v>
      </c>
      <c r="J155" t="str">
        <f>IF(Table1[[#This Row],[Resolution_Date]]="NA","Unresolved","Resolved")</f>
        <v>Resolved</v>
      </c>
      <c r="K155">
        <f>IF(Table1[[#This Row],[Resolution_Date]]="NA"," ",Table1[[#This Row],[Resolution_Date]]-Table1[[#This Row],[Complaint_Date]])</f>
        <v>1</v>
      </c>
      <c r="L155" t="str">
        <f>TEXT(Table1[[#This Row],[Complaint_Date]],"MMM")</f>
        <v>Jul</v>
      </c>
      <c r="M155" t="str">
        <f>IF(Table1[[#This Row],[Resolution_Time_Hours]]&lt;=24,"Fast",IF(Table1[[#This Row],[Resolution_Time_Hours]]&lt;=72,"Medium","Slow"))</f>
        <v>Medium</v>
      </c>
    </row>
    <row r="156" spans="1:13" x14ac:dyDescent="0.3">
      <c r="A156" t="s">
        <v>485</v>
      </c>
      <c r="B156" t="s">
        <v>486</v>
      </c>
      <c r="C156" t="s">
        <v>34</v>
      </c>
      <c r="D156" t="s">
        <v>27</v>
      </c>
      <c r="E156" s="2" t="s">
        <v>329</v>
      </c>
      <c r="F156">
        <v>57</v>
      </c>
      <c r="G156" t="s">
        <v>14</v>
      </c>
      <c r="H156" s="2" t="s">
        <v>2820</v>
      </c>
      <c r="J156" t="str">
        <f>IF(Table1[[#This Row],[Resolution_Date]]="NA","Unresolved","Resolved")</f>
        <v>Unresolved</v>
      </c>
      <c r="K156" t="str">
        <f>IF(Table1[[#This Row],[Resolution_Date]]="NA"," ",Table1[[#This Row],[Resolution_Date]]-Table1[[#This Row],[Complaint_Date]])</f>
        <v xml:space="preserve"> </v>
      </c>
      <c r="L156" t="str">
        <f>TEXT(Table1[[#This Row],[Complaint_Date]],"MMM")</f>
        <v>Nov</v>
      </c>
      <c r="M156" t="str">
        <f>IF(Table1[[#This Row],[Resolution_Time_Hours]]&lt;=24,"Fast",IF(Table1[[#This Row],[Resolution_Time_Hours]]&lt;=72,"Medium","Slow"))</f>
        <v>Medium</v>
      </c>
    </row>
    <row r="157" spans="1:13" x14ac:dyDescent="0.3">
      <c r="A157" t="s">
        <v>487</v>
      </c>
      <c r="B157" t="s">
        <v>488</v>
      </c>
      <c r="C157" t="s">
        <v>53</v>
      </c>
      <c r="D157" t="s">
        <v>27</v>
      </c>
      <c r="E157" s="2" t="s">
        <v>489</v>
      </c>
      <c r="F157">
        <v>5</v>
      </c>
      <c r="G157" t="s">
        <v>14</v>
      </c>
      <c r="H157" s="2" t="s">
        <v>2820</v>
      </c>
      <c r="J157" t="str">
        <f>IF(Table1[[#This Row],[Resolution_Date]]="NA","Unresolved","Resolved")</f>
        <v>Unresolved</v>
      </c>
      <c r="K157" t="str">
        <f>IF(Table1[[#This Row],[Resolution_Date]]="NA"," ",Table1[[#This Row],[Resolution_Date]]-Table1[[#This Row],[Complaint_Date]])</f>
        <v xml:space="preserve"> </v>
      </c>
      <c r="L157" t="str">
        <f>TEXT(Table1[[#This Row],[Complaint_Date]],"MMM")</f>
        <v>Aug</v>
      </c>
      <c r="M157" t="str">
        <f>IF(Table1[[#This Row],[Resolution_Time_Hours]]&lt;=24,"Fast",IF(Table1[[#This Row],[Resolution_Time_Hours]]&lt;=72,"Medium","Slow"))</f>
        <v>Fast</v>
      </c>
    </row>
    <row r="158" spans="1:13" x14ac:dyDescent="0.3">
      <c r="A158" t="s">
        <v>490</v>
      </c>
      <c r="B158" t="s">
        <v>491</v>
      </c>
      <c r="C158" t="s">
        <v>34</v>
      </c>
      <c r="D158" t="s">
        <v>18</v>
      </c>
      <c r="E158" s="2" t="s">
        <v>492</v>
      </c>
      <c r="F158">
        <v>26</v>
      </c>
      <c r="G158" t="s">
        <v>20</v>
      </c>
      <c r="H158" s="2" t="s">
        <v>493</v>
      </c>
      <c r="I158">
        <v>2</v>
      </c>
      <c r="J158" t="str">
        <f>IF(Table1[[#This Row],[Resolution_Date]]="NA","Unresolved","Resolved")</f>
        <v>Resolved</v>
      </c>
      <c r="K158">
        <f>IF(Table1[[#This Row],[Resolution_Date]]="NA"," ",Table1[[#This Row],[Resolution_Date]]-Table1[[#This Row],[Complaint_Date]])</f>
        <v>1</v>
      </c>
      <c r="L158" t="str">
        <f>TEXT(Table1[[#This Row],[Complaint_Date]],"MMM")</f>
        <v>Oct</v>
      </c>
      <c r="M158" t="str">
        <f>IF(Table1[[#This Row],[Resolution_Time_Hours]]&lt;=24,"Fast",IF(Table1[[#This Row],[Resolution_Time_Hours]]&lt;=72,"Medium","Slow"))</f>
        <v>Medium</v>
      </c>
    </row>
    <row r="159" spans="1:13" x14ac:dyDescent="0.3">
      <c r="A159" t="s">
        <v>494</v>
      </c>
      <c r="B159" t="s">
        <v>495</v>
      </c>
      <c r="C159" t="s">
        <v>48</v>
      </c>
      <c r="D159" t="s">
        <v>12</v>
      </c>
      <c r="E159" s="2" t="s">
        <v>496</v>
      </c>
      <c r="F159">
        <v>58</v>
      </c>
      <c r="G159" t="s">
        <v>20</v>
      </c>
      <c r="H159" s="2" t="s">
        <v>241</v>
      </c>
      <c r="I159">
        <v>5</v>
      </c>
      <c r="J159" t="str">
        <f>IF(Table1[[#This Row],[Resolution_Date]]="NA","Unresolved","Resolved")</f>
        <v>Resolved</v>
      </c>
      <c r="K159">
        <f>IF(Table1[[#This Row],[Resolution_Date]]="NA"," ",Table1[[#This Row],[Resolution_Date]]-Table1[[#This Row],[Complaint_Date]])</f>
        <v>2</v>
      </c>
      <c r="L159" t="str">
        <f>TEXT(Table1[[#This Row],[Complaint_Date]],"MMM")</f>
        <v>Jun</v>
      </c>
      <c r="M159" t="str">
        <f>IF(Table1[[#This Row],[Resolution_Time_Hours]]&lt;=24,"Fast",IF(Table1[[#This Row],[Resolution_Time_Hours]]&lt;=72,"Medium","Slow"))</f>
        <v>Medium</v>
      </c>
    </row>
    <row r="160" spans="1:13" x14ac:dyDescent="0.3">
      <c r="A160" t="s">
        <v>497</v>
      </c>
      <c r="B160" t="s">
        <v>498</v>
      </c>
      <c r="C160" t="s">
        <v>17</v>
      </c>
      <c r="D160" t="s">
        <v>95</v>
      </c>
      <c r="E160" s="2" t="s">
        <v>217</v>
      </c>
      <c r="F160">
        <v>13</v>
      </c>
      <c r="G160" t="s">
        <v>14</v>
      </c>
      <c r="H160" s="2" t="s">
        <v>2820</v>
      </c>
      <c r="J160" t="str">
        <f>IF(Table1[[#This Row],[Resolution_Date]]="NA","Unresolved","Resolved")</f>
        <v>Unresolved</v>
      </c>
      <c r="K160" t="str">
        <f>IF(Table1[[#This Row],[Resolution_Date]]="NA"," ",Table1[[#This Row],[Resolution_Date]]-Table1[[#This Row],[Complaint_Date]])</f>
        <v xml:space="preserve"> </v>
      </c>
      <c r="L160" t="str">
        <f>TEXT(Table1[[#This Row],[Complaint_Date]],"MMM")</f>
        <v>Dec</v>
      </c>
      <c r="M160" t="str">
        <f>IF(Table1[[#This Row],[Resolution_Time_Hours]]&lt;=24,"Fast",IF(Table1[[#This Row],[Resolution_Time_Hours]]&lt;=72,"Medium","Slow"))</f>
        <v>Fast</v>
      </c>
    </row>
    <row r="161" spans="1:13" x14ac:dyDescent="0.3">
      <c r="A161" t="s">
        <v>499</v>
      </c>
      <c r="B161" t="s">
        <v>500</v>
      </c>
      <c r="C161" t="s">
        <v>11</v>
      </c>
      <c r="D161" t="s">
        <v>38</v>
      </c>
      <c r="E161" s="2" t="s">
        <v>501</v>
      </c>
      <c r="F161">
        <v>34</v>
      </c>
      <c r="G161" t="s">
        <v>20</v>
      </c>
      <c r="H161" s="2" t="s">
        <v>502</v>
      </c>
      <c r="I161">
        <v>2</v>
      </c>
      <c r="J161" t="str">
        <f>IF(Table1[[#This Row],[Resolution_Date]]="NA","Unresolved","Resolved")</f>
        <v>Resolved</v>
      </c>
      <c r="K161">
        <f>IF(Table1[[#This Row],[Resolution_Date]]="NA"," ",Table1[[#This Row],[Resolution_Date]]-Table1[[#This Row],[Complaint_Date]])</f>
        <v>1</v>
      </c>
      <c r="L161" t="str">
        <f>TEXT(Table1[[#This Row],[Complaint_Date]],"MMM")</f>
        <v>Jun</v>
      </c>
      <c r="M161" t="str">
        <f>IF(Table1[[#This Row],[Resolution_Time_Hours]]&lt;=24,"Fast",IF(Table1[[#This Row],[Resolution_Time_Hours]]&lt;=72,"Medium","Slow"))</f>
        <v>Medium</v>
      </c>
    </row>
    <row r="162" spans="1:13" x14ac:dyDescent="0.3">
      <c r="A162" t="s">
        <v>503</v>
      </c>
      <c r="B162" t="s">
        <v>504</v>
      </c>
      <c r="C162" t="s">
        <v>53</v>
      </c>
      <c r="D162" t="s">
        <v>38</v>
      </c>
      <c r="E162" s="2" t="s">
        <v>480</v>
      </c>
      <c r="F162">
        <v>5</v>
      </c>
      <c r="G162" t="s">
        <v>20</v>
      </c>
      <c r="H162" s="2" t="s">
        <v>480</v>
      </c>
      <c r="I162">
        <v>5</v>
      </c>
      <c r="J162" t="str">
        <f>IF(Table1[[#This Row],[Resolution_Date]]="NA","Unresolved","Resolved")</f>
        <v>Resolved</v>
      </c>
      <c r="K162">
        <f>IF(Table1[[#This Row],[Resolution_Date]]="NA"," ",Table1[[#This Row],[Resolution_Date]]-Table1[[#This Row],[Complaint_Date]])</f>
        <v>0</v>
      </c>
      <c r="L162" t="str">
        <f>TEXT(Table1[[#This Row],[Complaint_Date]],"MMM")</f>
        <v>Sep</v>
      </c>
      <c r="M162" t="str">
        <f>IF(Table1[[#This Row],[Resolution_Time_Hours]]&lt;=24,"Fast",IF(Table1[[#This Row],[Resolution_Time_Hours]]&lt;=72,"Medium","Slow"))</f>
        <v>Fast</v>
      </c>
    </row>
    <row r="163" spans="1:13" x14ac:dyDescent="0.3">
      <c r="A163" t="s">
        <v>505</v>
      </c>
      <c r="B163" t="s">
        <v>506</v>
      </c>
      <c r="C163" t="s">
        <v>110</v>
      </c>
      <c r="D163" t="s">
        <v>18</v>
      </c>
      <c r="E163" s="2" t="s">
        <v>507</v>
      </c>
      <c r="F163">
        <v>2</v>
      </c>
      <c r="G163" t="s">
        <v>20</v>
      </c>
      <c r="H163" s="2" t="s">
        <v>507</v>
      </c>
      <c r="I163">
        <v>5</v>
      </c>
      <c r="J163" t="str">
        <f>IF(Table1[[#This Row],[Resolution_Date]]="NA","Unresolved","Resolved")</f>
        <v>Resolved</v>
      </c>
      <c r="K163">
        <f>IF(Table1[[#This Row],[Resolution_Date]]="NA"," ",Table1[[#This Row],[Resolution_Date]]-Table1[[#This Row],[Complaint_Date]])</f>
        <v>0</v>
      </c>
      <c r="L163" t="str">
        <f>TEXT(Table1[[#This Row],[Complaint_Date]],"MMM")</f>
        <v>Oct</v>
      </c>
      <c r="M163" t="str">
        <f>IF(Table1[[#This Row],[Resolution_Time_Hours]]&lt;=24,"Fast",IF(Table1[[#This Row],[Resolution_Time_Hours]]&lt;=72,"Medium","Slow"))</f>
        <v>Fast</v>
      </c>
    </row>
    <row r="164" spans="1:13" x14ac:dyDescent="0.3">
      <c r="A164" t="s">
        <v>508</v>
      </c>
      <c r="B164" t="s">
        <v>509</v>
      </c>
      <c r="C164" t="s">
        <v>43</v>
      </c>
      <c r="D164" t="s">
        <v>38</v>
      </c>
      <c r="E164" s="2" t="s">
        <v>510</v>
      </c>
      <c r="F164">
        <v>41</v>
      </c>
      <c r="G164" t="s">
        <v>20</v>
      </c>
      <c r="H164" s="2" t="s">
        <v>511</v>
      </c>
      <c r="I164">
        <v>2</v>
      </c>
      <c r="J164" t="str">
        <f>IF(Table1[[#This Row],[Resolution_Date]]="NA","Unresolved","Resolved")</f>
        <v>Resolved</v>
      </c>
      <c r="K164">
        <f>IF(Table1[[#This Row],[Resolution_Date]]="NA"," ",Table1[[#This Row],[Resolution_Date]]-Table1[[#This Row],[Complaint_Date]])</f>
        <v>1</v>
      </c>
      <c r="L164" t="str">
        <f>TEXT(Table1[[#This Row],[Complaint_Date]],"MMM")</f>
        <v>Jul</v>
      </c>
      <c r="M164" t="str">
        <f>IF(Table1[[#This Row],[Resolution_Time_Hours]]&lt;=24,"Fast",IF(Table1[[#This Row],[Resolution_Time_Hours]]&lt;=72,"Medium","Slow"))</f>
        <v>Medium</v>
      </c>
    </row>
    <row r="165" spans="1:13" x14ac:dyDescent="0.3">
      <c r="A165" t="s">
        <v>512</v>
      </c>
      <c r="B165" t="s">
        <v>513</v>
      </c>
      <c r="C165" t="s">
        <v>70</v>
      </c>
      <c r="D165" t="s">
        <v>12</v>
      </c>
      <c r="E165" s="2" t="s">
        <v>514</v>
      </c>
      <c r="F165">
        <v>18</v>
      </c>
      <c r="G165" t="s">
        <v>20</v>
      </c>
      <c r="H165" s="2" t="s">
        <v>514</v>
      </c>
      <c r="I165">
        <v>3</v>
      </c>
      <c r="J165" t="str">
        <f>IF(Table1[[#This Row],[Resolution_Date]]="NA","Unresolved","Resolved")</f>
        <v>Resolved</v>
      </c>
      <c r="K165">
        <f>IF(Table1[[#This Row],[Resolution_Date]]="NA"," ",Table1[[#This Row],[Resolution_Date]]-Table1[[#This Row],[Complaint_Date]])</f>
        <v>0</v>
      </c>
      <c r="L165" t="str">
        <f>TEXT(Table1[[#This Row],[Complaint_Date]],"MMM")</f>
        <v>Jan</v>
      </c>
      <c r="M165" t="str">
        <f>IF(Table1[[#This Row],[Resolution_Time_Hours]]&lt;=24,"Fast",IF(Table1[[#This Row],[Resolution_Time_Hours]]&lt;=72,"Medium","Slow"))</f>
        <v>Fast</v>
      </c>
    </row>
    <row r="166" spans="1:13" x14ac:dyDescent="0.3">
      <c r="A166" t="s">
        <v>515</v>
      </c>
      <c r="B166" t="s">
        <v>516</v>
      </c>
      <c r="C166" t="s">
        <v>110</v>
      </c>
      <c r="D166" t="s">
        <v>12</v>
      </c>
      <c r="E166" s="2" t="s">
        <v>517</v>
      </c>
      <c r="F166">
        <v>16</v>
      </c>
      <c r="G166" t="s">
        <v>20</v>
      </c>
      <c r="H166" s="2" t="s">
        <v>517</v>
      </c>
      <c r="I166">
        <v>3</v>
      </c>
      <c r="J166" t="str">
        <f>IF(Table1[[#This Row],[Resolution_Date]]="NA","Unresolved","Resolved")</f>
        <v>Resolved</v>
      </c>
      <c r="K166">
        <f>IF(Table1[[#This Row],[Resolution_Date]]="NA"," ",Table1[[#This Row],[Resolution_Date]]-Table1[[#This Row],[Complaint_Date]])</f>
        <v>0</v>
      </c>
      <c r="L166" t="str">
        <f>TEXT(Table1[[#This Row],[Complaint_Date]],"MMM")</f>
        <v>Feb</v>
      </c>
      <c r="M166" t="str">
        <f>IF(Table1[[#This Row],[Resolution_Time_Hours]]&lt;=24,"Fast",IF(Table1[[#This Row],[Resolution_Time_Hours]]&lt;=72,"Medium","Slow"))</f>
        <v>Fast</v>
      </c>
    </row>
    <row r="167" spans="1:13" x14ac:dyDescent="0.3">
      <c r="A167" t="s">
        <v>518</v>
      </c>
      <c r="B167" t="s">
        <v>519</v>
      </c>
      <c r="C167" t="s">
        <v>11</v>
      </c>
      <c r="D167" t="s">
        <v>38</v>
      </c>
      <c r="E167" s="2" t="s">
        <v>520</v>
      </c>
      <c r="F167">
        <v>12</v>
      </c>
      <c r="G167" t="s">
        <v>20</v>
      </c>
      <c r="H167" s="2" t="s">
        <v>520</v>
      </c>
      <c r="I167">
        <v>4</v>
      </c>
      <c r="J167" t="str">
        <f>IF(Table1[[#This Row],[Resolution_Date]]="NA","Unresolved","Resolved")</f>
        <v>Resolved</v>
      </c>
      <c r="K167">
        <f>IF(Table1[[#This Row],[Resolution_Date]]="NA"," ",Table1[[#This Row],[Resolution_Date]]-Table1[[#This Row],[Complaint_Date]])</f>
        <v>0</v>
      </c>
      <c r="L167" t="str">
        <f>TEXT(Table1[[#This Row],[Complaint_Date]],"MMM")</f>
        <v>Feb</v>
      </c>
      <c r="M167" t="str">
        <f>IF(Table1[[#This Row],[Resolution_Time_Hours]]&lt;=24,"Fast",IF(Table1[[#This Row],[Resolution_Time_Hours]]&lt;=72,"Medium","Slow"))</f>
        <v>Fast</v>
      </c>
    </row>
    <row r="168" spans="1:13" x14ac:dyDescent="0.3">
      <c r="A168" t="s">
        <v>521</v>
      </c>
      <c r="B168" t="s">
        <v>522</v>
      </c>
      <c r="C168" t="s">
        <v>48</v>
      </c>
      <c r="D168" t="s">
        <v>95</v>
      </c>
      <c r="E168" s="2" t="s">
        <v>233</v>
      </c>
      <c r="F168">
        <v>60</v>
      </c>
      <c r="G168" t="s">
        <v>20</v>
      </c>
      <c r="H168" s="2" t="s">
        <v>103</v>
      </c>
      <c r="I168">
        <v>1</v>
      </c>
      <c r="J168" t="str">
        <f>IF(Table1[[#This Row],[Resolution_Date]]="NA","Unresolved","Resolved")</f>
        <v>Resolved</v>
      </c>
      <c r="K168">
        <f>IF(Table1[[#This Row],[Resolution_Date]]="NA"," ",Table1[[#This Row],[Resolution_Date]]-Table1[[#This Row],[Complaint_Date]])</f>
        <v>2</v>
      </c>
      <c r="L168" t="str">
        <f>TEXT(Table1[[#This Row],[Complaint_Date]],"MMM")</f>
        <v>Apr</v>
      </c>
      <c r="M168" t="str">
        <f>IF(Table1[[#This Row],[Resolution_Time_Hours]]&lt;=24,"Fast",IF(Table1[[#This Row],[Resolution_Time_Hours]]&lt;=72,"Medium","Slow"))</f>
        <v>Medium</v>
      </c>
    </row>
    <row r="169" spans="1:13" x14ac:dyDescent="0.3">
      <c r="A169" t="s">
        <v>523</v>
      </c>
      <c r="B169" t="s">
        <v>524</v>
      </c>
      <c r="C169" t="s">
        <v>110</v>
      </c>
      <c r="D169" t="s">
        <v>12</v>
      </c>
      <c r="E169" s="2" t="s">
        <v>525</v>
      </c>
      <c r="F169">
        <v>19</v>
      </c>
      <c r="G169" t="s">
        <v>20</v>
      </c>
      <c r="H169" s="2" t="s">
        <v>525</v>
      </c>
      <c r="I169">
        <v>3</v>
      </c>
      <c r="J169" t="str">
        <f>IF(Table1[[#This Row],[Resolution_Date]]="NA","Unresolved","Resolved")</f>
        <v>Resolved</v>
      </c>
      <c r="K169">
        <f>IF(Table1[[#This Row],[Resolution_Date]]="NA"," ",Table1[[#This Row],[Resolution_Date]]-Table1[[#This Row],[Complaint_Date]])</f>
        <v>0</v>
      </c>
      <c r="L169" t="str">
        <f>TEXT(Table1[[#This Row],[Complaint_Date]],"MMM")</f>
        <v>Mar</v>
      </c>
      <c r="M169" t="str">
        <f>IF(Table1[[#This Row],[Resolution_Time_Hours]]&lt;=24,"Fast",IF(Table1[[#This Row],[Resolution_Time_Hours]]&lt;=72,"Medium","Slow"))</f>
        <v>Fast</v>
      </c>
    </row>
    <row r="170" spans="1:13" x14ac:dyDescent="0.3">
      <c r="A170" t="s">
        <v>526</v>
      </c>
      <c r="B170" t="s">
        <v>527</v>
      </c>
      <c r="C170" t="s">
        <v>43</v>
      </c>
      <c r="D170" t="s">
        <v>38</v>
      </c>
      <c r="E170" s="2" t="s">
        <v>528</v>
      </c>
      <c r="F170">
        <v>60</v>
      </c>
      <c r="G170" t="s">
        <v>20</v>
      </c>
      <c r="H170" s="2" t="s">
        <v>529</v>
      </c>
      <c r="I170">
        <v>1</v>
      </c>
      <c r="J170" t="str">
        <f>IF(Table1[[#This Row],[Resolution_Date]]="NA","Unresolved","Resolved")</f>
        <v>Resolved</v>
      </c>
      <c r="K170">
        <f>IF(Table1[[#This Row],[Resolution_Date]]="NA"," ",Table1[[#This Row],[Resolution_Date]]-Table1[[#This Row],[Complaint_Date]])</f>
        <v>2</v>
      </c>
      <c r="L170" t="str">
        <f>TEXT(Table1[[#This Row],[Complaint_Date]],"MMM")</f>
        <v>Dec</v>
      </c>
      <c r="M170" t="str">
        <f>IF(Table1[[#This Row],[Resolution_Time_Hours]]&lt;=24,"Fast",IF(Table1[[#This Row],[Resolution_Time_Hours]]&lt;=72,"Medium","Slow"))</f>
        <v>Medium</v>
      </c>
    </row>
    <row r="171" spans="1:13" x14ac:dyDescent="0.3">
      <c r="A171" t="s">
        <v>530</v>
      </c>
      <c r="B171" t="s">
        <v>531</v>
      </c>
      <c r="C171" t="s">
        <v>70</v>
      </c>
      <c r="D171" t="s">
        <v>12</v>
      </c>
      <c r="E171" s="2" t="s">
        <v>532</v>
      </c>
      <c r="F171">
        <v>9</v>
      </c>
      <c r="G171" t="s">
        <v>20</v>
      </c>
      <c r="H171" s="2" t="s">
        <v>532</v>
      </c>
      <c r="I171">
        <v>4</v>
      </c>
      <c r="J171" t="str">
        <f>IF(Table1[[#This Row],[Resolution_Date]]="NA","Unresolved","Resolved")</f>
        <v>Resolved</v>
      </c>
      <c r="K171">
        <f>IF(Table1[[#This Row],[Resolution_Date]]="NA"," ",Table1[[#This Row],[Resolution_Date]]-Table1[[#This Row],[Complaint_Date]])</f>
        <v>0</v>
      </c>
      <c r="L171" t="str">
        <f>TEXT(Table1[[#This Row],[Complaint_Date]],"MMM")</f>
        <v>Jun</v>
      </c>
      <c r="M171" t="str">
        <f>IF(Table1[[#This Row],[Resolution_Time_Hours]]&lt;=24,"Fast",IF(Table1[[#This Row],[Resolution_Time_Hours]]&lt;=72,"Medium","Slow"))</f>
        <v>Fast</v>
      </c>
    </row>
    <row r="172" spans="1:13" x14ac:dyDescent="0.3">
      <c r="A172" t="s">
        <v>533</v>
      </c>
      <c r="B172" t="s">
        <v>534</v>
      </c>
      <c r="C172" t="s">
        <v>110</v>
      </c>
      <c r="D172" t="s">
        <v>18</v>
      </c>
      <c r="E172" s="2" t="s">
        <v>535</v>
      </c>
      <c r="F172">
        <v>21</v>
      </c>
      <c r="G172" t="s">
        <v>20</v>
      </c>
      <c r="H172" s="2" t="s">
        <v>535</v>
      </c>
      <c r="I172">
        <v>3</v>
      </c>
      <c r="J172" t="str">
        <f>IF(Table1[[#This Row],[Resolution_Date]]="NA","Unresolved","Resolved")</f>
        <v>Resolved</v>
      </c>
      <c r="K172">
        <f>IF(Table1[[#This Row],[Resolution_Date]]="NA"," ",Table1[[#This Row],[Resolution_Date]]-Table1[[#This Row],[Complaint_Date]])</f>
        <v>0</v>
      </c>
      <c r="L172" t="str">
        <f>TEXT(Table1[[#This Row],[Complaint_Date]],"MMM")</f>
        <v>Nov</v>
      </c>
      <c r="M172" t="str">
        <f>IF(Table1[[#This Row],[Resolution_Time_Hours]]&lt;=24,"Fast",IF(Table1[[#This Row],[Resolution_Time_Hours]]&lt;=72,"Medium","Slow"))</f>
        <v>Fast</v>
      </c>
    </row>
    <row r="173" spans="1:13" x14ac:dyDescent="0.3">
      <c r="A173" t="s">
        <v>536</v>
      </c>
      <c r="B173" t="s">
        <v>537</v>
      </c>
      <c r="C173" t="s">
        <v>53</v>
      </c>
      <c r="D173" t="s">
        <v>12</v>
      </c>
      <c r="E173" s="2" t="s">
        <v>538</v>
      </c>
      <c r="F173">
        <v>10</v>
      </c>
      <c r="G173" t="s">
        <v>20</v>
      </c>
      <c r="H173" s="2" t="s">
        <v>538</v>
      </c>
      <c r="I173">
        <v>4</v>
      </c>
      <c r="J173" t="str">
        <f>IF(Table1[[#This Row],[Resolution_Date]]="NA","Unresolved","Resolved")</f>
        <v>Resolved</v>
      </c>
      <c r="K173">
        <f>IF(Table1[[#This Row],[Resolution_Date]]="NA"," ",Table1[[#This Row],[Resolution_Date]]-Table1[[#This Row],[Complaint_Date]])</f>
        <v>0</v>
      </c>
      <c r="L173" t="str">
        <f>TEXT(Table1[[#This Row],[Complaint_Date]],"MMM")</f>
        <v>Sep</v>
      </c>
      <c r="M173" t="str">
        <f>IF(Table1[[#This Row],[Resolution_Time_Hours]]&lt;=24,"Fast",IF(Table1[[#This Row],[Resolution_Time_Hours]]&lt;=72,"Medium","Slow"))</f>
        <v>Fast</v>
      </c>
    </row>
    <row r="174" spans="1:13" x14ac:dyDescent="0.3">
      <c r="A174" t="s">
        <v>539</v>
      </c>
      <c r="B174" t="s">
        <v>540</v>
      </c>
      <c r="C174" t="s">
        <v>11</v>
      </c>
      <c r="D174" t="s">
        <v>38</v>
      </c>
      <c r="E174" s="2" t="s">
        <v>223</v>
      </c>
      <c r="F174">
        <v>27</v>
      </c>
      <c r="G174" t="s">
        <v>40</v>
      </c>
      <c r="H174" s="2" t="s">
        <v>2820</v>
      </c>
      <c r="J174" t="str">
        <f>IF(Table1[[#This Row],[Resolution_Date]]="NA","Unresolved","Resolved")</f>
        <v>Unresolved</v>
      </c>
      <c r="K174" t="str">
        <f>IF(Table1[[#This Row],[Resolution_Date]]="NA"," ",Table1[[#This Row],[Resolution_Date]]-Table1[[#This Row],[Complaint_Date]])</f>
        <v xml:space="preserve"> </v>
      </c>
      <c r="L174" t="str">
        <f>TEXT(Table1[[#This Row],[Complaint_Date]],"MMM")</f>
        <v>Dec</v>
      </c>
      <c r="M174" t="str">
        <f>IF(Table1[[#This Row],[Resolution_Time_Hours]]&lt;=24,"Fast",IF(Table1[[#This Row],[Resolution_Time_Hours]]&lt;=72,"Medium","Slow"))</f>
        <v>Medium</v>
      </c>
    </row>
    <row r="175" spans="1:13" x14ac:dyDescent="0.3">
      <c r="A175" t="s">
        <v>541</v>
      </c>
      <c r="B175" t="s">
        <v>542</v>
      </c>
      <c r="C175" t="s">
        <v>53</v>
      </c>
      <c r="D175" t="s">
        <v>95</v>
      </c>
      <c r="E175" s="2" t="s">
        <v>543</v>
      </c>
      <c r="F175">
        <v>3</v>
      </c>
      <c r="G175" t="s">
        <v>20</v>
      </c>
      <c r="H175" s="2" t="s">
        <v>543</v>
      </c>
      <c r="I175">
        <v>5</v>
      </c>
      <c r="J175" t="str">
        <f>IF(Table1[[#This Row],[Resolution_Date]]="NA","Unresolved","Resolved")</f>
        <v>Resolved</v>
      </c>
      <c r="K175">
        <f>IF(Table1[[#This Row],[Resolution_Date]]="NA"," ",Table1[[#This Row],[Resolution_Date]]-Table1[[#This Row],[Complaint_Date]])</f>
        <v>0</v>
      </c>
      <c r="L175" t="str">
        <f>TEXT(Table1[[#This Row],[Complaint_Date]],"MMM")</f>
        <v>Nov</v>
      </c>
      <c r="M175" t="str">
        <f>IF(Table1[[#This Row],[Resolution_Time_Hours]]&lt;=24,"Fast",IF(Table1[[#This Row],[Resolution_Time_Hours]]&lt;=72,"Medium","Slow"))</f>
        <v>Fast</v>
      </c>
    </row>
    <row r="176" spans="1:13" x14ac:dyDescent="0.3">
      <c r="A176" t="s">
        <v>544</v>
      </c>
      <c r="B176" t="s">
        <v>545</v>
      </c>
      <c r="C176" t="s">
        <v>17</v>
      </c>
      <c r="D176" t="s">
        <v>12</v>
      </c>
      <c r="E176" s="2" t="s">
        <v>546</v>
      </c>
      <c r="F176">
        <v>16</v>
      </c>
      <c r="G176" t="s">
        <v>20</v>
      </c>
      <c r="H176" s="2" t="s">
        <v>546</v>
      </c>
      <c r="I176">
        <v>3</v>
      </c>
      <c r="J176" t="str">
        <f>IF(Table1[[#This Row],[Resolution_Date]]="NA","Unresolved","Resolved")</f>
        <v>Resolved</v>
      </c>
      <c r="K176">
        <f>IF(Table1[[#This Row],[Resolution_Date]]="NA"," ",Table1[[#This Row],[Resolution_Date]]-Table1[[#This Row],[Complaint_Date]])</f>
        <v>0</v>
      </c>
      <c r="L176" t="str">
        <f>TEXT(Table1[[#This Row],[Complaint_Date]],"MMM")</f>
        <v>Jan</v>
      </c>
      <c r="M176" t="str">
        <f>IF(Table1[[#This Row],[Resolution_Time_Hours]]&lt;=24,"Fast",IF(Table1[[#This Row],[Resolution_Time_Hours]]&lt;=72,"Medium","Slow"))</f>
        <v>Fast</v>
      </c>
    </row>
    <row r="177" spans="1:13" x14ac:dyDescent="0.3">
      <c r="A177" t="s">
        <v>547</v>
      </c>
      <c r="B177" t="s">
        <v>548</v>
      </c>
      <c r="C177" t="s">
        <v>48</v>
      </c>
      <c r="D177" t="s">
        <v>12</v>
      </c>
      <c r="E177" s="2" t="s">
        <v>549</v>
      </c>
      <c r="F177">
        <v>21</v>
      </c>
      <c r="G177" t="s">
        <v>20</v>
      </c>
      <c r="H177" s="2" t="s">
        <v>549</v>
      </c>
      <c r="I177">
        <v>3</v>
      </c>
      <c r="J177" t="str">
        <f>IF(Table1[[#This Row],[Resolution_Date]]="NA","Unresolved","Resolved")</f>
        <v>Resolved</v>
      </c>
      <c r="K177">
        <f>IF(Table1[[#This Row],[Resolution_Date]]="NA"," ",Table1[[#This Row],[Resolution_Date]]-Table1[[#This Row],[Complaint_Date]])</f>
        <v>0</v>
      </c>
      <c r="L177" t="str">
        <f>TEXT(Table1[[#This Row],[Complaint_Date]],"MMM")</f>
        <v>Jan</v>
      </c>
      <c r="M177" t="str">
        <f>IF(Table1[[#This Row],[Resolution_Time_Hours]]&lt;=24,"Fast",IF(Table1[[#This Row],[Resolution_Time_Hours]]&lt;=72,"Medium","Slow"))</f>
        <v>Fast</v>
      </c>
    </row>
    <row r="178" spans="1:13" x14ac:dyDescent="0.3">
      <c r="A178" t="s">
        <v>550</v>
      </c>
      <c r="B178" t="s">
        <v>551</v>
      </c>
      <c r="C178" t="s">
        <v>48</v>
      </c>
      <c r="D178" t="s">
        <v>27</v>
      </c>
      <c r="E178" s="2" t="s">
        <v>552</v>
      </c>
      <c r="F178">
        <v>6</v>
      </c>
      <c r="G178" t="s">
        <v>14</v>
      </c>
      <c r="H178" s="2" t="s">
        <v>2820</v>
      </c>
      <c r="J178" t="str">
        <f>IF(Table1[[#This Row],[Resolution_Date]]="NA","Unresolved","Resolved")</f>
        <v>Unresolved</v>
      </c>
      <c r="K178" t="str">
        <f>IF(Table1[[#This Row],[Resolution_Date]]="NA"," ",Table1[[#This Row],[Resolution_Date]]-Table1[[#This Row],[Complaint_Date]])</f>
        <v xml:space="preserve"> </v>
      </c>
      <c r="L178" t="str">
        <f>TEXT(Table1[[#This Row],[Complaint_Date]],"MMM")</f>
        <v>Jul</v>
      </c>
      <c r="M178" t="str">
        <f>IF(Table1[[#This Row],[Resolution_Time_Hours]]&lt;=24,"Fast",IF(Table1[[#This Row],[Resolution_Time_Hours]]&lt;=72,"Medium","Slow"))</f>
        <v>Fast</v>
      </c>
    </row>
    <row r="179" spans="1:13" x14ac:dyDescent="0.3">
      <c r="A179" t="s">
        <v>553</v>
      </c>
      <c r="B179" t="s">
        <v>554</v>
      </c>
      <c r="C179" t="s">
        <v>43</v>
      </c>
      <c r="D179" t="s">
        <v>95</v>
      </c>
      <c r="E179" s="2" t="s">
        <v>555</v>
      </c>
      <c r="F179">
        <v>51</v>
      </c>
      <c r="G179" t="s">
        <v>20</v>
      </c>
      <c r="H179" s="2" t="s">
        <v>31</v>
      </c>
      <c r="I179">
        <v>1</v>
      </c>
      <c r="J179" t="str">
        <f>IF(Table1[[#This Row],[Resolution_Date]]="NA","Unresolved","Resolved")</f>
        <v>Resolved</v>
      </c>
      <c r="K179">
        <f>IF(Table1[[#This Row],[Resolution_Date]]="NA"," ",Table1[[#This Row],[Resolution_Date]]-Table1[[#This Row],[Complaint_Date]])</f>
        <v>2</v>
      </c>
      <c r="L179" t="str">
        <f>TEXT(Table1[[#This Row],[Complaint_Date]],"MMM")</f>
        <v>Mar</v>
      </c>
      <c r="M179" t="str">
        <f>IF(Table1[[#This Row],[Resolution_Time_Hours]]&lt;=24,"Fast",IF(Table1[[#This Row],[Resolution_Time_Hours]]&lt;=72,"Medium","Slow"))</f>
        <v>Medium</v>
      </c>
    </row>
    <row r="180" spans="1:13" x14ac:dyDescent="0.3">
      <c r="A180" t="s">
        <v>556</v>
      </c>
      <c r="B180" t="s">
        <v>557</v>
      </c>
      <c r="C180" t="s">
        <v>53</v>
      </c>
      <c r="D180" t="s">
        <v>38</v>
      </c>
      <c r="E180" s="2" t="s">
        <v>13</v>
      </c>
      <c r="F180">
        <v>6</v>
      </c>
      <c r="G180" t="s">
        <v>20</v>
      </c>
      <c r="H180" s="2" t="s">
        <v>13</v>
      </c>
      <c r="I180">
        <v>5</v>
      </c>
      <c r="J180" t="str">
        <f>IF(Table1[[#This Row],[Resolution_Date]]="NA","Unresolved","Resolved")</f>
        <v>Resolved</v>
      </c>
      <c r="K180">
        <f>IF(Table1[[#This Row],[Resolution_Date]]="NA"," ",Table1[[#This Row],[Resolution_Date]]-Table1[[#This Row],[Complaint_Date]])</f>
        <v>0</v>
      </c>
      <c r="L180" t="str">
        <f>TEXT(Table1[[#This Row],[Complaint_Date]],"MMM")</f>
        <v>Oct</v>
      </c>
      <c r="M180" t="str">
        <f>IF(Table1[[#This Row],[Resolution_Time_Hours]]&lt;=24,"Fast",IF(Table1[[#This Row],[Resolution_Time_Hours]]&lt;=72,"Medium","Slow"))</f>
        <v>Fast</v>
      </c>
    </row>
    <row r="181" spans="1:13" x14ac:dyDescent="0.3">
      <c r="A181" t="s">
        <v>558</v>
      </c>
      <c r="B181" t="s">
        <v>559</v>
      </c>
      <c r="C181" t="s">
        <v>43</v>
      </c>
      <c r="D181" t="s">
        <v>27</v>
      </c>
      <c r="E181" s="2" t="s">
        <v>103</v>
      </c>
      <c r="F181">
        <v>17</v>
      </c>
      <c r="G181" t="s">
        <v>20</v>
      </c>
      <c r="H181" s="2" t="s">
        <v>103</v>
      </c>
      <c r="I181">
        <v>3</v>
      </c>
      <c r="J181" t="str">
        <f>IF(Table1[[#This Row],[Resolution_Date]]="NA","Unresolved","Resolved")</f>
        <v>Resolved</v>
      </c>
      <c r="K181">
        <f>IF(Table1[[#This Row],[Resolution_Date]]="NA"," ",Table1[[#This Row],[Resolution_Date]]-Table1[[#This Row],[Complaint_Date]])</f>
        <v>0</v>
      </c>
      <c r="L181" t="str">
        <f>TEXT(Table1[[#This Row],[Complaint_Date]],"MMM")</f>
        <v>Apr</v>
      </c>
      <c r="M181" t="str">
        <f>IF(Table1[[#This Row],[Resolution_Time_Hours]]&lt;=24,"Fast",IF(Table1[[#This Row],[Resolution_Time_Hours]]&lt;=72,"Medium","Slow"))</f>
        <v>Fast</v>
      </c>
    </row>
    <row r="182" spans="1:13" x14ac:dyDescent="0.3">
      <c r="A182" t="s">
        <v>560</v>
      </c>
      <c r="B182" t="s">
        <v>561</v>
      </c>
      <c r="C182" t="s">
        <v>11</v>
      </c>
      <c r="D182" t="s">
        <v>27</v>
      </c>
      <c r="E182" s="2" t="s">
        <v>562</v>
      </c>
      <c r="F182">
        <v>39</v>
      </c>
      <c r="G182" t="s">
        <v>20</v>
      </c>
      <c r="H182" s="2" t="s">
        <v>563</v>
      </c>
      <c r="I182">
        <v>2</v>
      </c>
      <c r="J182" t="str">
        <f>IF(Table1[[#This Row],[Resolution_Date]]="NA","Unresolved","Resolved")</f>
        <v>Resolved</v>
      </c>
      <c r="K182">
        <f>IF(Table1[[#This Row],[Resolution_Date]]="NA"," ",Table1[[#This Row],[Resolution_Date]]-Table1[[#This Row],[Complaint_Date]])</f>
        <v>1</v>
      </c>
      <c r="L182" t="str">
        <f>TEXT(Table1[[#This Row],[Complaint_Date]],"MMM")</f>
        <v>Jan</v>
      </c>
      <c r="M182" t="str">
        <f>IF(Table1[[#This Row],[Resolution_Time_Hours]]&lt;=24,"Fast",IF(Table1[[#This Row],[Resolution_Time_Hours]]&lt;=72,"Medium","Slow"))</f>
        <v>Medium</v>
      </c>
    </row>
    <row r="183" spans="1:13" x14ac:dyDescent="0.3">
      <c r="A183" t="s">
        <v>564</v>
      </c>
      <c r="B183" t="s">
        <v>565</v>
      </c>
      <c r="C183" t="s">
        <v>43</v>
      </c>
      <c r="D183" t="s">
        <v>27</v>
      </c>
      <c r="E183" s="2" t="s">
        <v>106</v>
      </c>
      <c r="F183">
        <v>67</v>
      </c>
      <c r="G183" t="s">
        <v>20</v>
      </c>
      <c r="H183" s="2" t="s">
        <v>60</v>
      </c>
      <c r="I183">
        <v>1</v>
      </c>
      <c r="J183" t="str">
        <f>IF(Table1[[#This Row],[Resolution_Date]]="NA","Unresolved","Resolved")</f>
        <v>Resolved</v>
      </c>
      <c r="K183">
        <f>IF(Table1[[#This Row],[Resolution_Date]]="NA"," ",Table1[[#This Row],[Resolution_Date]]-Table1[[#This Row],[Complaint_Date]])</f>
        <v>2</v>
      </c>
      <c r="L183" t="str">
        <f>TEXT(Table1[[#This Row],[Complaint_Date]],"MMM")</f>
        <v>Sep</v>
      </c>
      <c r="M183" t="str">
        <f>IF(Table1[[#This Row],[Resolution_Time_Hours]]&lt;=24,"Fast",IF(Table1[[#This Row],[Resolution_Time_Hours]]&lt;=72,"Medium","Slow"))</f>
        <v>Medium</v>
      </c>
    </row>
    <row r="184" spans="1:13" x14ac:dyDescent="0.3">
      <c r="A184" t="s">
        <v>566</v>
      </c>
      <c r="B184" t="s">
        <v>567</v>
      </c>
      <c r="C184" t="s">
        <v>48</v>
      </c>
      <c r="D184" t="s">
        <v>95</v>
      </c>
      <c r="E184" s="2" t="s">
        <v>267</v>
      </c>
      <c r="F184">
        <v>27</v>
      </c>
      <c r="G184" t="s">
        <v>20</v>
      </c>
      <c r="H184" s="2" t="s">
        <v>100</v>
      </c>
      <c r="I184">
        <v>2</v>
      </c>
      <c r="J184" t="str">
        <f>IF(Table1[[#This Row],[Resolution_Date]]="NA","Unresolved","Resolved")</f>
        <v>Resolved</v>
      </c>
      <c r="K184">
        <f>IF(Table1[[#This Row],[Resolution_Date]]="NA"," ",Table1[[#This Row],[Resolution_Date]]-Table1[[#This Row],[Complaint_Date]])</f>
        <v>1</v>
      </c>
      <c r="L184" t="str">
        <f>TEXT(Table1[[#This Row],[Complaint_Date]],"MMM")</f>
        <v>Jan</v>
      </c>
      <c r="M184" t="str">
        <f>IF(Table1[[#This Row],[Resolution_Time_Hours]]&lt;=24,"Fast",IF(Table1[[#This Row],[Resolution_Time_Hours]]&lt;=72,"Medium","Slow"))</f>
        <v>Medium</v>
      </c>
    </row>
    <row r="185" spans="1:13" x14ac:dyDescent="0.3">
      <c r="A185" t="s">
        <v>568</v>
      </c>
      <c r="B185" t="s">
        <v>569</v>
      </c>
      <c r="C185" t="s">
        <v>48</v>
      </c>
      <c r="D185" t="s">
        <v>27</v>
      </c>
      <c r="E185" s="2" t="s">
        <v>489</v>
      </c>
      <c r="F185">
        <v>39</v>
      </c>
      <c r="G185" t="s">
        <v>20</v>
      </c>
      <c r="H185" s="2" t="s">
        <v>366</v>
      </c>
      <c r="I185">
        <v>2</v>
      </c>
      <c r="J185" t="str">
        <f>IF(Table1[[#This Row],[Resolution_Date]]="NA","Unresolved","Resolved")</f>
        <v>Resolved</v>
      </c>
      <c r="K185">
        <f>IF(Table1[[#This Row],[Resolution_Date]]="NA"," ",Table1[[#This Row],[Resolution_Date]]-Table1[[#This Row],[Complaint_Date]])</f>
        <v>1</v>
      </c>
      <c r="L185" t="str">
        <f>TEXT(Table1[[#This Row],[Complaint_Date]],"MMM")</f>
        <v>Aug</v>
      </c>
      <c r="M185" t="str">
        <f>IF(Table1[[#This Row],[Resolution_Time_Hours]]&lt;=24,"Fast",IF(Table1[[#This Row],[Resolution_Time_Hours]]&lt;=72,"Medium","Slow"))</f>
        <v>Medium</v>
      </c>
    </row>
    <row r="186" spans="1:13" x14ac:dyDescent="0.3">
      <c r="A186" t="s">
        <v>570</v>
      </c>
      <c r="B186" t="s">
        <v>571</v>
      </c>
      <c r="C186" t="s">
        <v>70</v>
      </c>
      <c r="D186" t="s">
        <v>12</v>
      </c>
      <c r="E186" s="2" t="s">
        <v>572</v>
      </c>
      <c r="F186">
        <v>15</v>
      </c>
      <c r="G186" t="s">
        <v>20</v>
      </c>
      <c r="H186" s="2" t="s">
        <v>572</v>
      </c>
      <c r="I186">
        <v>5</v>
      </c>
      <c r="J186" t="str">
        <f>IF(Table1[[#This Row],[Resolution_Date]]="NA","Unresolved","Resolved")</f>
        <v>Resolved</v>
      </c>
      <c r="K186">
        <f>IF(Table1[[#This Row],[Resolution_Date]]="NA"," ",Table1[[#This Row],[Resolution_Date]]-Table1[[#This Row],[Complaint_Date]])</f>
        <v>0</v>
      </c>
      <c r="L186" t="str">
        <f>TEXT(Table1[[#This Row],[Complaint_Date]],"MMM")</f>
        <v>May</v>
      </c>
      <c r="M186" t="str">
        <f>IF(Table1[[#This Row],[Resolution_Time_Hours]]&lt;=24,"Fast",IF(Table1[[#This Row],[Resolution_Time_Hours]]&lt;=72,"Medium","Slow"))</f>
        <v>Fast</v>
      </c>
    </row>
    <row r="187" spans="1:13" x14ac:dyDescent="0.3">
      <c r="A187" t="s">
        <v>573</v>
      </c>
      <c r="B187" t="s">
        <v>574</v>
      </c>
      <c r="C187" t="s">
        <v>53</v>
      </c>
      <c r="D187" t="s">
        <v>18</v>
      </c>
      <c r="E187" s="2" t="s">
        <v>220</v>
      </c>
      <c r="F187">
        <v>7</v>
      </c>
      <c r="G187" t="s">
        <v>14</v>
      </c>
      <c r="H187" s="2" t="s">
        <v>2820</v>
      </c>
      <c r="J187" t="str">
        <f>IF(Table1[[#This Row],[Resolution_Date]]="NA","Unresolved","Resolved")</f>
        <v>Unresolved</v>
      </c>
      <c r="K187" t="str">
        <f>IF(Table1[[#This Row],[Resolution_Date]]="NA"," ",Table1[[#This Row],[Resolution_Date]]-Table1[[#This Row],[Complaint_Date]])</f>
        <v xml:space="preserve"> </v>
      </c>
      <c r="L187" t="str">
        <f>TEXT(Table1[[#This Row],[Complaint_Date]],"MMM")</f>
        <v>Jul</v>
      </c>
      <c r="M187" t="str">
        <f>IF(Table1[[#This Row],[Resolution_Time_Hours]]&lt;=24,"Fast",IF(Table1[[#This Row],[Resolution_Time_Hours]]&lt;=72,"Medium","Slow"))</f>
        <v>Fast</v>
      </c>
    </row>
    <row r="188" spans="1:13" x14ac:dyDescent="0.3">
      <c r="A188" t="s">
        <v>575</v>
      </c>
      <c r="B188" t="s">
        <v>576</v>
      </c>
      <c r="C188" t="s">
        <v>48</v>
      </c>
      <c r="D188" t="s">
        <v>38</v>
      </c>
      <c r="E188" s="2" t="s">
        <v>577</v>
      </c>
      <c r="F188">
        <v>16</v>
      </c>
      <c r="G188" t="s">
        <v>14</v>
      </c>
      <c r="H188" s="2" t="s">
        <v>2820</v>
      </c>
      <c r="J188" t="str">
        <f>IF(Table1[[#This Row],[Resolution_Date]]="NA","Unresolved","Resolved")</f>
        <v>Unresolved</v>
      </c>
      <c r="K188" t="str">
        <f>IF(Table1[[#This Row],[Resolution_Date]]="NA"," ",Table1[[#This Row],[Resolution_Date]]-Table1[[#This Row],[Complaint_Date]])</f>
        <v xml:space="preserve"> </v>
      </c>
      <c r="L188" t="str">
        <f>TEXT(Table1[[#This Row],[Complaint_Date]],"MMM")</f>
        <v>Aug</v>
      </c>
      <c r="M188" t="str">
        <f>IF(Table1[[#This Row],[Resolution_Time_Hours]]&lt;=24,"Fast",IF(Table1[[#This Row],[Resolution_Time_Hours]]&lt;=72,"Medium","Slow"))</f>
        <v>Fast</v>
      </c>
    </row>
    <row r="189" spans="1:13" x14ac:dyDescent="0.3">
      <c r="A189" t="s">
        <v>578</v>
      </c>
      <c r="B189" t="s">
        <v>579</v>
      </c>
      <c r="C189" t="s">
        <v>53</v>
      </c>
      <c r="D189" t="s">
        <v>38</v>
      </c>
      <c r="E189" s="2" t="s">
        <v>437</v>
      </c>
      <c r="F189">
        <v>4</v>
      </c>
      <c r="G189" t="s">
        <v>14</v>
      </c>
      <c r="H189" s="2" t="s">
        <v>2820</v>
      </c>
      <c r="J189" t="str">
        <f>IF(Table1[[#This Row],[Resolution_Date]]="NA","Unresolved","Resolved")</f>
        <v>Unresolved</v>
      </c>
      <c r="K189" t="str">
        <f>IF(Table1[[#This Row],[Resolution_Date]]="NA"," ",Table1[[#This Row],[Resolution_Date]]-Table1[[#This Row],[Complaint_Date]])</f>
        <v xml:space="preserve"> </v>
      </c>
      <c r="L189" t="str">
        <f>TEXT(Table1[[#This Row],[Complaint_Date]],"MMM")</f>
        <v>Oct</v>
      </c>
      <c r="M189" t="str">
        <f>IF(Table1[[#This Row],[Resolution_Time_Hours]]&lt;=24,"Fast",IF(Table1[[#This Row],[Resolution_Time_Hours]]&lt;=72,"Medium","Slow"))</f>
        <v>Fast</v>
      </c>
    </row>
    <row r="190" spans="1:13" x14ac:dyDescent="0.3">
      <c r="A190" t="s">
        <v>580</v>
      </c>
      <c r="B190" t="s">
        <v>581</v>
      </c>
      <c r="C190" t="s">
        <v>70</v>
      </c>
      <c r="D190" t="s">
        <v>95</v>
      </c>
      <c r="E190" s="2" t="s">
        <v>111</v>
      </c>
      <c r="F190">
        <v>17</v>
      </c>
      <c r="G190" t="s">
        <v>20</v>
      </c>
      <c r="H190" s="2" t="s">
        <v>111</v>
      </c>
      <c r="I190">
        <v>3</v>
      </c>
      <c r="J190" t="str">
        <f>IF(Table1[[#This Row],[Resolution_Date]]="NA","Unresolved","Resolved")</f>
        <v>Resolved</v>
      </c>
      <c r="K190">
        <f>IF(Table1[[#This Row],[Resolution_Date]]="NA"," ",Table1[[#This Row],[Resolution_Date]]-Table1[[#This Row],[Complaint_Date]])</f>
        <v>0</v>
      </c>
      <c r="L190" t="str">
        <f>TEXT(Table1[[#This Row],[Complaint_Date]],"MMM")</f>
        <v>Jan</v>
      </c>
      <c r="M190" t="str">
        <f>IF(Table1[[#This Row],[Resolution_Time_Hours]]&lt;=24,"Fast",IF(Table1[[#This Row],[Resolution_Time_Hours]]&lt;=72,"Medium","Slow"))</f>
        <v>Fast</v>
      </c>
    </row>
    <row r="191" spans="1:13" x14ac:dyDescent="0.3">
      <c r="A191" t="s">
        <v>582</v>
      </c>
      <c r="B191" t="s">
        <v>583</v>
      </c>
      <c r="C191" t="s">
        <v>11</v>
      </c>
      <c r="D191" t="s">
        <v>18</v>
      </c>
      <c r="E191" s="2" t="s">
        <v>392</v>
      </c>
      <c r="F191">
        <v>36</v>
      </c>
      <c r="G191" t="s">
        <v>40</v>
      </c>
      <c r="H191" s="2" t="s">
        <v>2820</v>
      </c>
      <c r="J191" t="str">
        <f>IF(Table1[[#This Row],[Resolution_Date]]="NA","Unresolved","Resolved")</f>
        <v>Unresolved</v>
      </c>
      <c r="K191" t="str">
        <f>IF(Table1[[#This Row],[Resolution_Date]]="NA"," ",Table1[[#This Row],[Resolution_Date]]-Table1[[#This Row],[Complaint_Date]])</f>
        <v xml:space="preserve"> </v>
      </c>
      <c r="L191" t="str">
        <f>TEXT(Table1[[#This Row],[Complaint_Date]],"MMM")</f>
        <v>Aug</v>
      </c>
      <c r="M191" t="str">
        <f>IF(Table1[[#This Row],[Resolution_Time_Hours]]&lt;=24,"Fast",IF(Table1[[#This Row],[Resolution_Time_Hours]]&lt;=72,"Medium","Slow"))</f>
        <v>Medium</v>
      </c>
    </row>
    <row r="192" spans="1:13" x14ac:dyDescent="0.3">
      <c r="A192" t="s">
        <v>584</v>
      </c>
      <c r="B192" t="s">
        <v>585</v>
      </c>
      <c r="C192" t="s">
        <v>34</v>
      </c>
      <c r="D192" t="s">
        <v>12</v>
      </c>
      <c r="E192" s="2" t="s">
        <v>385</v>
      </c>
      <c r="F192">
        <v>66</v>
      </c>
      <c r="G192" t="s">
        <v>20</v>
      </c>
      <c r="H192" s="2" t="s">
        <v>386</v>
      </c>
      <c r="I192">
        <v>1</v>
      </c>
      <c r="J192" t="str">
        <f>IF(Table1[[#This Row],[Resolution_Date]]="NA","Unresolved","Resolved")</f>
        <v>Resolved</v>
      </c>
      <c r="K192">
        <f>IF(Table1[[#This Row],[Resolution_Date]]="NA"," ",Table1[[#This Row],[Resolution_Date]]-Table1[[#This Row],[Complaint_Date]])</f>
        <v>2</v>
      </c>
      <c r="L192" t="str">
        <f>TEXT(Table1[[#This Row],[Complaint_Date]],"MMM")</f>
        <v>Jul</v>
      </c>
      <c r="M192" t="str">
        <f>IF(Table1[[#This Row],[Resolution_Time_Hours]]&lt;=24,"Fast",IF(Table1[[#This Row],[Resolution_Time_Hours]]&lt;=72,"Medium","Slow"))</f>
        <v>Medium</v>
      </c>
    </row>
    <row r="193" spans="1:13" x14ac:dyDescent="0.3">
      <c r="A193" t="s">
        <v>586</v>
      </c>
      <c r="B193" t="s">
        <v>587</v>
      </c>
      <c r="C193" t="s">
        <v>53</v>
      </c>
      <c r="D193" t="s">
        <v>95</v>
      </c>
      <c r="E193" s="2" t="s">
        <v>373</v>
      </c>
      <c r="F193">
        <v>8</v>
      </c>
      <c r="G193" t="s">
        <v>20</v>
      </c>
      <c r="H193" s="2" t="s">
        <v>373</v>
      </c>
      <c r="I193">
        <v>4</v>
      </c>
      <c r="J193" t="str">
        <f>IF(Table1[[#This Row],[Resolution_Date]]="NA","Unresolved","Resolved")</f>
        <v>Resolved</v>
      </c>
      <c r="K193">
        <f>IF(Table1[[#This Row],[Resolution_Date]]="NA"," ",Table1[[#This Row],[Resolution_Date]]-Table1[[#This Row],[Complaint_Date]])</f>
        <v>0</v>
      </c>
      <c r="L193" t="str">
        <f>TEXT(Table1[[#This Row],[Complaint_Date]],"MMM")</f>
        <v>Sep</v>
      </c>
      <c r="M193" t="str">
        <f>IF(Table1[[#This Row],[Resolution_Time_Hours]]&lt;=24,"Fast",IF(Table1[[#This Row],[Resolution_Time_Hours]]&lt;=72,"Medium","Slow"))</f>
        <v>Fast</v>
      </c>
    </row>
    <row r="194" spans="1:13" x14ac:dyDescent="0.3">
      <c r="A194" t="s">
        <v>588</v>
      </c>
      <c r="B194" t="s">
        <v>589</v>
      </c>
      <c r="C194" t="s">
        <v>34</v>
      </c>
      <c r="D194" t="s">
        <v>18</v>
      </c>
      <c r="E194" s="2" t="s">
        <v>590</v>
      </c>
      <c r="F194">
        <v>66</v>
      </c>
      <c r="G194" t="s">
        <v>20</v>
      </c>
      <c r="H194" s="2" t="s">
        <v>591</v>
      </c>
      <c r="I194">
        <v>5</v>
      </c>
      <c r="J194" t="str">
        <f>IF(Table1[[#This Row],[Resolution_Date]]="NA","Unresolved","Resolved")</f>
        <v>Resolved</v>
      </c>
      <c r="K194">
        <f>IF(Table1[[#This Row],[Resolution_Date]]="NA"," ",Table1[[#This Row],[Resolution_Date]]-Table1[[#This Row],[Complaint_Date]])</f>
        <v>2</v>
      </c>
      <c r="L194" t="str">
        <f>TEXT(Table1[[#This Row],[Complaint_Date]],"MMM")</f>
        <v>Aug</v>
      </c>
      <c r="M194" t="str">
        <f>IF(Table1[[#This Row],[Resolution_Time_Hours]]&lt;=24,"Fast",IF(Table1[[#This Row],[Resolution_Time_Hours]]&lt;=72,"Medium","Slow"))</f>
        <v>Medium</v>
      </c>
    </row>
    <row r="195" spans="1:13" x14ac:dyDescent="0.3">
      <c r="A195" t="s">
        <v>592</v>
      </c>
      <c r="B195" t="s">
        <v>593</v>
      </c>
      <c r="C195" t="s">
        <v>11</v>
      </c>
      <c r="D195" t="s">
        <v>18</v>
      </c>
      <c r="E195" s="2" t="s">
        <v>594</v>
      </c>
      <c r="F195">
        <v>32</v>
      </c>
      <c r="G195" t="s">
        <v>20</v>
      </c>
      <c r="H195" s="2" t="s">
        <v>595</v>
      </c>
      <c r="I195">
        <v>2</v>
      </c>
      <c r="J195" t="str">
        <f>IF(Table1[[#This Row],[Resolution_Date]]="NA","Unresolved","Resolved")</f>
        <v>Resolved</v>
      </c>
      <c r="K195">
        <f>IF(Table1[[#This Row],[Resolution_Date]]="NA"," ",Table1[[#This Row],[Resolution_Date]]-Table1[[#This Row],[Complaint_Date]])</f>
        <v>1</v>
      </c>
      <c r="L195" t="str">
        <f>TEXT(Table1[[#This Row],[Complaint_Date]],"MMM")</f>
        <v>Apr</v>
      </c>
      <c r="M195" t="str">
        <f>IF(Table1[[#This Row],[Resolution_Time_Hours]]&lt;=24,"Fast",IF(Table1[[#This Row],[Resolution_Time_Hours]]&lt;=72,"Medium","Slow"))</f>
        <v>Medium</v>
      </c>
    </row>
    <row r="196" spans="1:13" x14ac:dyDescent="0.3">
      <c r="A196" t="s">
        <v>596</v>
      </c>
      <c r="B196" t="s">
        <v>597</v>
      </c>
      <c r="C196" t="s">
        <v>43</v>
      </c>
      <c r="D196" t="s">
        <v>95</v>
      </c>
      <c r="E196" s="2" t="s">
        <v>355</v>
      </c>
      <c r="F196">
        <v>23</v>
      </c>
      <c r="G196" t="s">
        <v>14</v>
      </c>
      <c r="H196" s="2" t="s">
        <v>2820</v>
      </c>
      <c r="J196" t="str">
        <f>IF(Table1[[#This Row],[Resolution_Date]]="NA","Unresolved","Resolved")</f>
        <v>Unresolved</v>
      </c>
      <c r="K196" t="str">
        <f>IF(Table1[[#This Row],[Resolution_Date]]="NA"," ",Table1[[#This Row],[Resolution_Date]]-Table1[[#This Row],[Complaint_Date]])</f>
        <v xml:space="preserve"> </v>
      </c>
      <c r="L196" t="str">
        <f>TEXT(Table1[[#This Row],[Complaint_Date]],"MMM")</f>
        <v>May</v>
      </c>
      <c r="M196" t="str">
        <f>IF(Table1[[#This Row],[Resolution_Time_Hours]]&lt;=24,"Fast",IF(Table1[[#This Row],[Resolution_Time_Hours]]&lt;=72,"Medium","Slow"))</f>
        <v>Fast</v>
      </c>
    </row>
    <row r="197" spans="1:13" x14ac:dyDescent="0.3">
      <c r="A197" t="s">
        <v>598</v>
      </c>
      <c r="B197" t="s">
        <v>599</v>
      </c>
      <c r="C197" t="s">
        <v>48</v>
      </c>
      <c r="D197" t="s">
        <v>27</v>
      </c>
      <c r="E197" s="2" t="s">
        <v>217</v>
      </c>
      <c r="F197">
        <v>8</v>
      </c>
      <c r="G197" t="s">
        <v>20</v>
      </c>
      <c r="H197" s="2" t="s">
        <v>217</v>
      </c>
      <c r="I197">
        <v>4</v>
      </c>
      <c r="J197" t="str">
        <f>IF(Table1[[#This Row],[Resolution_Date]]="NA","Unresolved","Resolved")</f>
        <v>Resolved</v>
      </c>
      <c r="K197">
        <f>IF(Table1[[#This Row],[Resolution_Date]]="NA"," ",Table1[[#This Row],[Resolution_Date]]-Table1[[#This Row],[Complaint_Date]])</f>
        <v>0</v>
      </c>
      <c r="L197" t="str">
        <f>TEXT(Table1[[#This Row],[Complaint_Date]],"MMM")</f>
        <v>Dec</v>
      </c>
      <c r="M197" t="str">
        <f>IF(Table1[[#This Row],[Resolution_Time_Hours]]&lt;=24,"Fast",IF(Table1[[#This Row],[Resolution_Time_Hours]]&lt;=72,"Medium","Slow"))</f>
        <v>Fast</v>
      </c>
    </row>
    <row r="198" spans="1:13" x14ac:dyDescent="0.3">
      <c r="A198" t="s">
        <v>600</v>
      </c>
      <c r="B198" t="s">
        <v>601</v>
      </c>
      <c r="C198" t="s">
        <v>43</v>
      </c>
      <c r="D198" t="s">
        <v>95</v>
      </c>
      <c r="E198" s="2" t="s">
        <v>287</v>
      </c>
      <c r="F198">
        <v>9</v>
      </c>
      <c r="G198" t="s">
        <v>14</v>
      </c>
      <c r="H198" s="2" t="s">
        <v>2820</v>
      </c>
      <c r="J198" t="str">
        <f>IF(Table1[[#This Row],[Resolution_Date]]="NA","Unresolved","Resolved")</f>
        <v>Unresolved</v>
      </c>
      <c r="K198" t="str">
        <f>IF(Table1[[#This Row],[Resolution_Date]]="NA"," ",Table1[[#This Row],[Resolution_Date]]-Table1[[#This Row],[Complaint_Date]])</f>
        <v xml:space="preserve"> </v>
      </c>
      <c r="L198" t="str">
        <f>TEXT(Table1[[#This Row],[Complaint_Date]],"MMM")</f>
        <v>Dec</v>
      </c>
      <c r="M198" t="str">
        <f>IF(Table1[[#This Row],[Resolution_Time_Hours]]&lt;=24,"Fast",IF(Table1[[#This Row],[Resolution_Time_Hours]]&lt;=72,"Medium","Slow"))</f>
        <v>Fast</v>
      </c>
    </row>
    <row r="199" spans="1:13" x14ac:dyDescent="0.3">
      <c r="A199" t="s">
        <v>602</v>
      </c>
      <c r="B199" t="s">
        <v>603</v>
      </c>
      <c r="C199" t="s">
        <v>43</v>
      </c>
      <c r="D199" t="s">
        <v>38</v>
      </c>
      <c r="E199" s="2" t="s">
        <v>214</v>
      </c>
      <c r="F199">
        <v>63</v>
      </c>
      <c r="G199" t="s">
        <v>14</v>
      </c>
      <c r="H199" s="2" t="s">
        <v>2820</v>
      </c>
      <c r="J199" t="str">
        <f>IF(Table1[[#This Row],[Resolution_Date]]="NA","Unresolved","Resolved")</f>
        <v>Unresolved</v>
      </c>
      <c r="K199" t="str">
        <f>IF(Table1[[#This Row],[Resolution_Date]]="NA"," ",Table1[[#This Row],[Resolution_Date]]-Table1[[#This Row],[Complaint_Date]])</f>
        <v xml:space="preserve"> </v>
      </c>
      <c r="L199" t="str">
        <f>TEXT(Table1[[#This Row],[Complaint_Date]],"MMM")</f>
        <v>May</v>
      </c>
      <c r="M199" t="str">
        <f>IF(Table1[[#This Row],[Resolution_Time_Hours]]&lt;=24,"Fast",IF(Table1[[#This Row],[Resolution_Time_Hours]]&lt;=72,"Medium","Slow"))</f>
        <v>Medium</v>
      </c>
    </row>
    <row r="200" spans="1:13" x14ac:dyDescent="0.3">
      <c r="A200" t="s">
        <v>604</v>
      </c>
      <c r="B200" t="s">
        <v>605</v>
      </c>
      <c r="C200" t="s">
        <v>48</v>
      </c>
      <c r="D200" t="s">
        <v>38</v>
      </c>
      <c r="E200" s="2" t="s">
        <v>386</v>
      </c>
      <c r="F200">
        <v>42</v>
      </c>
      <c r="G200" t="s">
        <v>20</v>
      </c>
      <c r="H200" s="2" t="s">
        <v>376</v>
      </c>
      <c r="I200">
        <v>2</v>
      </c>
      <c r="J200" t="str">
        <f>IF(Table1[[#This Row],[Resolution_Date]]="NA","Unresolved","Resolved")</f>
        <v>Resolved</v>
      </c>
      <c r="K200">
        <f>IF(Table1[[#This Row],[Resolution_Date]]="NA"," ",Table1[[#This Row],[Resolution_Date]]-Table1[[#This Row],[Complaint_Date]])</f>
        <v>1</v>
      </c>
      <c r="L200" t="str">
        <f>TEXT(Table1[[#This Row],[Complaint_Date]],"MMM")</f>
        <v>Jul</v>
      </c>
      <c r="M200" t="str">
        <f>IF(Table1[[#This Row],[Resolution_Time_Hours]]&lt;=24,"Fast",IF(Table1[[#This Row],[Resolution_Time_Hours]]&lt;=72,"Medium","Slow"))</f>
        <v>Medium</v>
      </c>
    </row>
    <row r="201" spans="1:13" x14ac:dyDescent="0.3">
      <c r="A201" t="s">
        <v>606</v>
      </c>
      <c r="B201" t="s">
        <v>607</v>
      </c>
      <c r="C201" t="s">
        <v>34</v>
      </c>
      <c r="D201" t="s">
        <v>27</v>
      </c>
      <c r="E201" s="2" t="s">
        <v>489</v>
      </c>
      <c r="F201">
        <v>77</v>
      </c>
      <c r="G201" t="s">
        <v>20</v>
      </c>
      <c r="H201" s="2" t="s">
        <v>608</v>
      </c>
      <c r="I201">
        <v>5</v>
      </c>
      <c r="J201" t="str">
        <f>IF(Table1[[#This Row],[Resolution_Date]]="NA","Unresolved","Resolved")</f>
        <v>Resolved</v>
      </c>
      <c r="K201">
        <f>IF(Table1[[#This Row],[Resolution_Date]]="NA"," ",Table1[[#This Row],[Resolution_Date]]-Table1[[#This Row],[Complaint_Date]])</f>
        <v>3</v>
      </c>
      <c r="L201" t="str">
        <f>TEXT(Table1[[#This Row],[Complaint_Date]],"MMM")</f>
        <v>Aug</v>
      </c>
      <c r="M201" t="str">
        <f>IF(Table1[[#This Row],[Resolution_Time_Hours]]&lt;=24,"Fast",IF(Table1[[#This Row],[Resolution_Time_Hours]]&lt;=72,"Medium","Slow"))</f>
        <v>Slow</v>
      </c>
    </row>
    <row r="202" spans="1:13" x14ac:dyDescent="0.3">
      <c r="A202" t="s">
        <v>609</v>
      </c>
      <c r="B202" t="s">
        <v>610</v>
      </c>
      <c r="C202" t="s">
        <v>43</v>
      </c>
      <c r="D202" t="s">
        <v>12</v>
      </c>
      <c r="E202" s="2" t="s">
        <v>611</v>
      </c>
      <c r="F202">
        <v>22</v>
      </c>
      <c r="G202" t="s">
        <v>20</v>
      </c>
      <c r="H202" s="2" t="s">
        <v>611</v>
      </c>
      <c r="I202">
        <v>5</v>
      </c>
      <c r="J202" t="str">
        <f>IF(Table1[[#This Row],[Resolution_Date]]="NA","Unresolved","Resolved")</f>
        <v>Resolved</v>
      </c>
      <c r="K202">
        <f>IF(Table1[[#This Row],[Resolution_Date]]="NA"," ",Table1[[#This Row],[Resolution_Date]]-Table1[[#This Row],[Complaint_Date]])</f>
        <v>0</v>
      </c>
      <c r="L202" t="str">
        <f>TEXT(Table1[[#This Row],[Complaint_Date]],"MMM")</f>
        <v>Apr</v>
      </c>
      <c r="M202" t="str">
        <f>IF(Table1[[#This Row],[Resolution_Time_Hours]]&lt;=24,"Fast",IF(Table1[[#This Row],[Resolution_Time_Hours]]&lt;=72,"Medium","Slow"))</f>
        <v>Fast</v>
      </c>
    </row>
    <row r="203" spans="1:13" x14ac:dyDescent="0.3">
      <c r="A203" t="s">
        <v>612</v>
      </c>
      <c r="B203" t="s">
        <v>613</v>
      </c>
      <c r="C203" t="s">
        <v>48</v>
      </c>
      <c r="D203" t="s">
        <v>18</v>
      </c>
      <c r="E203" s="2" t="s">
        <v>614</v>
      </c>
      <c r="F203">
        <v>38</v>
      </c>
      <c r="G203" t="s">
        <v>20</v>
      </c>
      <c r="H203" s="2" t="s">
        <v>63</v>
      </c>
      <c r="I203">
        <v>2</v>
      </c>
      <c r="J203" t="str">
        <f>IF(Table1[[#This Row],[Resolution_Date]]="NA","Unresolved","Resolved")</f>
        <v>Resolved</v>
      </c>
      <c r="K203">
        <f>IF(Table1[[#This Row],[Resolution_Date]]="NA"," ",Table1[[#This Row],[Resolution_Date]]-Table1[[#This Row],[Complaint_Date]])</f>
        <v>1</v>
      </c>
      <c r="L203" t="str">
        <f>TEXT(Table1[[#This Row],[Complaint_Date]],"MMM")</f>
        <v>Aug</v>
      </c>
      <c r="M203" t="str">
        <f>IF(Table1[[#This Row],[Resolution_Time_Hours]]&lt;=24,"Fast",IF(Table1[[#This Row],[Resolution_Time_Hours]]&lt;=72,"Medium","Slow"))</f>
        <v>Medium</v>
      </c>
    </row>
    <row r="204" spans="1:13" x14ac:dyDescent="0.3">
      <c r="A204" t="s">
        <v>615</v>
      </c>
      <c r="B204" t="s">
        <v>616</v>
      </c>
      <c r="C204" t="s">
        <v>48</v>
      </c>
      <c r="D204" t="s">
        <v>38</v>
      </c>
      <c r="E204" s="2" t="s">
        <v>525</v>
      </c>
      <c r="F204">
        <v>33</v>
      </c>
      <c r="G204" t="s">
        <v>40</v>
      </c>
      <c r="H204" s="2" t="s">
        <v>2820</v>
      </c>
      <c r="J204" t="str">
        <f>IF(Table1[[#This Row],[Resolution_Date]]="NA","Unresolved","Resolved")</f>
        <v>Unresolved</v>
      </c>
      <c r="K204" t="str">
        <f>IF(Table1[[#This Row],[Resolution_Date]]="NA"," ",Table1[[#This Row],[Resolution_Date]]-Table1[[#This Row],[Complaint_Date]])</f>
        <v xml:space="preserve"> </v>
      </c>
      <c r="L204" t="str">
        <f>TEXT(Table1[[#This Row],[Complaint_Date]],"MMM")</f>
        <v>Mar</v>
      </c>
      <c r="M204" t="str">
        <f>IF(Table1[[#This Row],[Resolution_Time_Hours]]&lt;=24,"Fast",IF(Table1[[#This Row],[Resolution_Time_Hours]]&lt;=72,"Medium","Slow"))</f>
        <v>Medium</v>
      </c>
    </row>
    <row r="205" spans="1:13" x14ac:dyDescent="0.3">
      <c r="A205" t="s">
        <v>617</v>
      </c>
      <c r="B205" t="s">
        <v>618</v>
      </c>
      <c r="C205" t="s">
        <v>53</v>
      </c>
      <c r="D205" t="s">
        <v>18</v>
      </c>
      <c r="E205" s="2" t="s">
        <v>619</v>
      </c>
      <c r="F205">
        <v>7</v>
      </c>
      <c r="G205" t="s">
        <v>14</v>
      </c>
      <c r="H205" s="2" t="s">
        <v>2820</v>
      </c>
      <c r="J205" t="str">
        <f>IF(Table1[[#This Row],[Resolution_Date]]="NA","Unresolved","Resolved")</f>
        <v>Unresolved</v>
      </c>
      <c r="K205" t="str">
        <f>IF(Table1[[#This Row],[Resolution_Date]]="NA"," ",Table1[[#This Row],[Resolution_Date]]-Table1[[#This Row],[Complaint_Date]])</f>
        <v xml:space="preserve"> </v>
      </c>
      <c r="L205" t="str">
        <f>TEXT(Table1[[#This Row],[Complaint_Date]],"MMM")</f>
        <v>Mar</v>
      </c>
      <c r="M205" t="str">
        <f>IF(Table1[[#This Row],[Resolution_Time_Hours]]&lt;=24,"Fast",IF(Table1[[#This Row],[Resolution_Time_Hours]]&lt;=72,"Medium","Slow"))</f>
        <v>Fast</v>
      </c>
    </row>
    <row r="206" spans="1:13" x14ac:dyDescent="0.3">
      <c r="A206" t="s">
        <v>620</v>
      </c>
      <c r="B206" t="s">
        <v>621</v>
      </c>
      <c r="C206" t="s">
        <v>11</v>
      </c>
      <c r="D206" t="s">
        <v>95</v>
      </c>
      <c r="E206" s="2" t="s">
        <v>622</v>
      </c>
      <c r="F206">
        <v>26</v>
      </c>
      <c r="G206" t="s">
        <v>20</v>
      </c>
      <c r="H206" s="2" t="s">
        <v>31</v>
      </c>
      <c r="I206">
        <v>2</v>
      </c>
      <c r="J206" t="str">
        <f>IF(Table1[[#This Row],[Resolution_Date]]="NA","Unresolved","Resolved")</f>
        <v>Resolved</v>
      </c>
      <c r="K206">
        <f>IF(Table1[[#This Row],[Resolution_Date]]="NA"," ",Table1[[#This Row],[Resolution_Date]]-Table1[[#This Row],[Complaint_Date]])</f>
        <v>1</v>
      </c>
      <c r="L206" t="str">
        <f>TEXT(Table1[[#This Row],[Complaint_Date]],"MMM")</f>
        <v>Mar</v>
      </c>
      <c r="M206" t="str">
        <f>IF(Table1[[#This Row],[Resolution_Time_Hours]]&lt;=24,"Fast",IF(Table1[[#This Row],[Resolution_Time_Hours]]&lt;=72,"Medium","Slow"))</f>
        <v>Medium</v>
      </c>
    </row>
    <row r="207" spans="1:13" x14ac:dyDescent="0.3">
      <c r="A207" t="s">
        <v>623</v>
      </c>
      <c r="B207" t="s">
        <v>624</v>
      </c>
      <c r="C207" t="s">
        <v>17</v>
      </c>
      <c r="D207" t="s">
        <v>18</v>
      </c>
      <c r="E207" s="2" t="s">
        <v>165</v>
      </c>
      <c r="F207">
        <v>24</v>
      </c>
      <c r="G207" t="s">
        <v>20</v>
      </c>
      <c r="H207" s="2" t="s">
        <v>625</v>
      </c>
      <c r="I207">
        <v>3</v>
      </c>
      <c r="J207" t="str">
        <f>IF(Table1[[#This Row],[Resolution_Date]]="NA","Unresolved","Resolved")</f>
        <v>Resolved</v>
      </c>
      <c r="K207">
        <f>IF(Table1[[#This Row],[Resolution_Date]]="NA"," ",Table1[[#This Row],[Resolution_Date]]-Table1[[#This Row],[Complaint_Date]])</f>
        <v>1</v>
      </c>
      <c r="L207" t="str">
        <f>TEXT(Table1[[#This Row],[Complaint_Date]],"MMM")</f>
        <v>May</v>
      </c>
      <c r="M207" t="str">
        <f>IF(Table1[[#This Row],[Resolution_Time_Hours]]&lt;=24,"Fast",IF(Table1[[#This Row],[Resolution_Time_Hours]]&lt;=72,"Medium","Slow"))</f>
        <v>Fast</v>
      </c>
    </row>
    <row r="208" spans="1:13" x14ac:dyDescent="0.3">
      <c r="A208" t="s">
        <v>626</v>
      </c>
      <c r="B208" t="s">
        <v>627</v>
      </c>
      <c r="C208" t="s">
        <v>17</v>
      </c>
      <c r="D208" t="s">
        <v>95</v>
      </c>
      <c r="E208" s="2" t="s">
        <v>201</v>
      </c>
      <c r="F208">
        <v>33</v>
      </c>
      <c r="G208" t="s">
        <v>14</v>
      </c>
      <c r="H208" s="2" t="s">
        <v>2820</v>
      </c>
      <c r="J208" t="str">
        <f>IF(Table1[[#This Row],[Resolution_Date]]="NA","Unresolved","Resolved")</f>
        <v>Unresolved</v>
      </c>
      <c r="K208" t="str">
        <f>IF(Table1[[#This Row],[Resolution_Date]]="NA"," ",Table1[[#This Row],[Resolution_Date]]-Table1[[#This Row],[Complaint_Date]])</f>
        <v xml:space="preserve"> </v>
      </c>
      <c r="L208" t="str">
        <f>TEXT(Table1[[#This Row],[Complaint_Date]],"MMM")</f>
        <v>Aug</v>
      </c>
      <c r="M208" t="str">
        <f>IF(Table1[[#This Row],[Resolution_Time_Hours]]&lt;=24,"Fast",IF(Table1[[#This Row],[Resolution_Time_Hours]]&lt;=72,"Medium","Slow"))</f>
        <v>Medium</v>
      </c>
    </row>
    <row r="209" spans="1:13" x14ac:dyDescent="0.3">
      <c r="A209" t="s">
        <v>628</v>
      </c>
      <c r="B209" t="s">
        <v>629</v>
      </c>
      <c r="C209" t="s">
        <v>17</v>
      </c>
      <c r="D209" t="s">
        <v>27</v>
      </c>
      <c r="E209" s="2" t="s">
        <v>525</v>
      </c>
      <c r="F209">
        <v>8</v>
      </c>
      <c r="G209" t="s">
        <v>20</v>
      </c>
      <c r="H209" s="2" t="s">
        <v>525</v>
      </c>
      <c r="I209">
        <v>4</v>
      </c>
      <c r="J209" t="str">
        <f>IF(Table1[[#This Row],[Resolution_Date]]="NA","Unresolved","Resolved")</f>
        <v>Resolved</v>
      </c>
      <c r="K209">
        <f>IF(Table1[[#This Row],[Resolution_Date]]="NA"," ",Table1[[#This Row],[Resolution_Date]]-Table1[[#This Row],[Complaint_Date]])</f>
        <v>0</v>
      </c>
      <c r="L209" t="str">
        <f>TEXT(Table1[[#This Row],[Complaint_Date]],"MMM")</f>
        <v>Mar</v>
      </c>
      <c r="M209" t="str">
        <f>IF(Table1[[#This Row],[Resolution_Time_Hours]]&lt;=24,"Fast",IF(Table1[[#This Row],[Resolution_Time_Hours]]&lt;=72,"Medium","Slow"))</f>
        <v>Fast</v>
      </c>
    </row>
    <row r="210" spans="1:13" x14ac:dyDescent="0.3">
      <c r="A210" t="s">
        <v>630</v>
      </c>
      <c r="B210" t="s">
        <v>631</v>
      </c>
      <c r="C210" t="s">
        <v>110</v>
      </c>
      <c r="D210" t="s">
        <v>27</v>
      </c>
      <c r="E210" s="2" t="s">
        <v>632</v>
      </c>
      <c r="F210">
        <v>22</v>
      </c>
      <c r="G210" t="s">
        <v>14</v>
      </c>
      <c r="H210" s="2" t="s">
        <v>2820</v>
      </c>
      <c r="J210" t="str">
        <f>IF(Table1[[#This Row],[Resolution_Date]]="NA","Unresolved","Resolved")</f>
        <v>Unresolved</v>
      </c>
      <c r="K210" t="str">
        <f>IF(Table1[[#This Row],[Resolution_Date]]="NA"," ",Table1[[#This Row],[Resolution_Date]]-Table1[[#This Row],[Complaint_Date]])</f>
        <v xml:space="preserve"> </v>
      </c>
      <c r="L210" t="str">
        <f>TEXT(Table1[[#This Row],[Complaint_Date]],"MMM")</f>
        <v>Mar</v>
      </c>
      <c r="M210" t="str">
        <f>IF(Table1[[#This Row],[Resolution_Time_Hours]]&lt;=24,"Fast",IF(Table1[[#This Row],[Resolution_Time_Hours]]&lt;=72,"Medium","Slow"))</f>
        <v>Fast</v>
      </c>
    </row>
    <row r="211" spans="1:13" x14ac:dyDescent="0.3">
      <c r="A211" t="s">
        <v>633</v>
      </c>
      <c r="B211" t="s">
        <v>634</v>
      </c>
      <c r="C211" t="s">
        <v>48</v>
      </c>
      <c r="D211" t="s">
        <v>38</v>
      </c>
      <c r="E211" s="2" t="s">
        <v>85</v>
      </c>
      <c r="F211">
        <v>34</v>
      </c>
      <c r="G211" t="s">
        <v>14</v>
      </c>
      <c r="H211" s="2" t="s">
        <v>2820</v>
      </c>
      <c r="J211" t="str">
        <f>IF(Table1[[#This Row],[Resolution_Date]]="NA","Unresolved","Resolved")</f>
        <v>Unresolved</v>
      </c>
      <c r="K211" t="str">
        <f>IF(Table1[[#This Row],[Resolution_Date]]="NA"," ",Table1[[#This Row],[Resolution_Date]]-Table1[[#This Row],[Complaint_Date]])</f>
        <v xml:space="preserve"> </v>
      </c>
      <c r="L211" t="str">
        <f>TEXT(Table1[[#This Row],[Complaint_Date]],"MMM")</f>
        <v>Mar</v>
      </c>
      <c r="M211" t="str">
        <f>IF(Table1[[#This Row],[Resolution_Time_Hours]]&lt;=24,"Fast",IF(Table1[[#This Row],[Resolution_Time_Hours]]&lt;=72,"Medium","Slow"))</f>
        <v>Medium</v>
      </c>
    </row>
    <row r="212" spans="1:13" x14ac:dyDescent="0.3">
      <c r="A212" t="s">
        <v>635</v>
      </c>
      <c r="B212" t="s">
        <v>636</v>
      </c>
      <c r="C212" t="s">
        <v>53</v>
      </c>
      <c r="D212" t="s">
        <v>18</v>
      </c>
      <c r="E212" s="2" t="s">
        <v>637</v>
      </c>
      <c r="F212">
        <v>11</v>
      </c>
      <c r="G212" t="s">
        <v>40</v>
      </c>
      <c r="H212" s="2" t="s">
        <v>2820</v>
      </c>
      <c r="J212" t="str">
        <f>IF(Table1[[#This Row],[Resolution_Date]]="NA","Unresolved","Resolved")</f>
        <v>Unresolved</v>
      </c>
      <c r="K212" t="str">
        <f>IF(Table1[[#This Row],[Resolution_Date]]="NA"," ",Table1[[#This Row],[Resolution_Date]]-Table1[[#This Row],[Complaint_Date]])</f>
        <v xml:space="preserve"> </v>
      </c>
      <c r="L212" t="str">
        <f>TEXT(Table1[[#This Row],[Complaint_Date]],"MMM")</f>
        <v>Feb</v>
      </c>
      <c r="M212" t="str">
        <f>IF(Table1[[#This Row],[Resolution_Time_Hours]]&lt;=24,"Fast",IF(Table1[[#This Row],[Resolution_Time_Hours]]&lt;=72,"Medium","Slow"))</f>
        <v>Fast</v>
      </c>
    </row>
    <row r="213" spans="1:13" x14ac:dyDescent="0.3">
      <c r="A213" t="s">
        <v>638</v>
      </c>
      <c r="B213" t="s">
        <v>639</v>
      </c>
      <c r="C213" t="s">
        <v>70</v>
      </c>
      <c r="D213" t="s">
        <v>27</v>
      </c>
      <c r="E213" s="2" t="s">
        <v>640</v>
      </c>
      <c r="F213">
        <v>21</v>
      </c>
      <c r="G213" t="s">
        <v>20</v>
      </c>
      <c r="H213" s="2" t="s">
        <v>640</v>
      </c>
      <c r="I213">
        <v>3</v>
      </c>
      <c r="J213" t="str">
        <f>IF(Table1[[#This Row],[Resolution_Date]]="NA","Unresolved","Resolved")</f>
        <v>Resolved</v>
      </c>
      <c r="K213">
        <f>IF(Table1[[#This Row],[Resolution_Date]]="NA"," ",Table1[[#This Row],[Resolution_Date]]-Table1[[#This Row],[Complaint_Date]])</f>
        <v>0</v>
      </c>
      <c r="L213" t="str">
        <f>TEXT(Table1[[#This Row],[Complaint_Date]],"MMM")</f>
        <v>Feb</v>
      </c>
      <c r="M213" t="str">
        <f>IF(Table1[[#This Row],[Resolution_Time_Hours]]&lt;=24,"Fast",IF(Table1[[#This Row],[Resolution_Time_Hours]]&lt;=72,"Medium","Slow"))</f>
        <v>Fast</v>
      </c>
    </row>
    <row r="214" spans="1:13" x14ac:dyDescent="0.3">
      <c r="A214" t="s">
        <v>641</v>
      </c>
      <c r="B214" t="s">
        <v>642</v>
      </c>
      <c r="C214" t="s">
        <v>110</v>
      </c>
      <c r="D214" t="s">
        <v>38</v>
      </c>
      <c r="E214" s="2" t="s">
        <v>643</v>
      </c>
      <c r="F214">
        <v>12</v>
      </c>
      <c r="G214" t="s">
        <v>14</v>
      </c>
      <c r="H214" s="2" t="s">
        <v>2820</v>
      </c>
      <c r="J214" t="str">
        <f>IF(Table1[[#This Row],[Resolution_Date]]="NA","Unresolved","Resolved")</f>
        <v>Unresolved</v>
      </c>
      <c r="K214" t="str">
        <f>IF(Table1[[#This Row],[Resolution_Date]]="NA"," ",Table1[[#This Row],[Resolution_Date]]-Table1[[#This Row],[Complaint_Date]])</f>
        <v xml:space="preserve"> </v>
      </c>
      <c r="L214" t="str">
        <f>TEXT(Table1[[#This Row],[Complaint_Date]],"MMM")</f>
        <v>Sep</v>
      </c>
      <c r="M214" t="str">
        <f>IF(Table1[[#This Row],[Resolution_Time_Hours]]&lt;=24,"Fast",IF(Table1[[#This Row],[Resolution_Time_Hours]]&lt;=72,"Medium","Slow"))</f>
        <v>Fast</v>
      </c>
    </row>
    <row r="215" spans="1:13" x14ac:dyDescent="0.3">
      <c r="A215" t="s">
        <v>644</v>
      </c>
      <c r="B215" t="s">
        <v>645</v>
      </c>
      <c r="C215" t="s">
        <v>17</v>
      </c>
      <c r="D215" t="s">
        <v>12</v>
      </c>
      <c r="E215" s="2" t="s">
        <v>44</v>
      </c>
      <c r="F215">
        <v>12</v>
      </c>
      <c r="G215" t="s">
        <v>20</v>
      </c>
      <c r="H215" s="2" t="s">
        <v>44</v>
      </c>
      <c r="I215">
        <v>4</v>
      </c>
      <c r="J215" t="str">
        <f>IF(Table1[[#This Row],[Resolution_Date]]="NA","Unresolved","Resolved")</f>
        <v>Resolved</v>
      </c>
      <c r="K215">
        <f>IF(Table1[[#This Row],[Resolution_Date]]="NA"," ",Table1[[#This Row],[Resolution_Date]]-Table1[[#This Row],[Complaint_Date]])</f>
        <v>0</v>
      </c>
      <c r="L215" t="str">
        <f>TEXT(Table1[[#This Row],[Complaint_Date]],"MMM")</f>
        <v>Nov</v>
      </c>
      <c r="M215" t="str">
        <f>IF(Table1[[#This Row],[Resolution_Time_Hours]]&lt;=24,"Fast",IF(Table1[[#This Row],[Resolution_Time_Hours]]&lt;=72,"Medium","Slow"))</f>
        <v>Fast</v>
      </c>
    </row>
    <row r="216" spans="1:13" x14ac:dyDescent="0.3">
      <c r="A216" t="s">
        <v>646</v>
      </c>
      <c r="B216" t="s">
        <v>647</v>
      </c>
      <c r="C216" t="s">
        <v>70</v>
      </c>
      <c r="D216" t="s">
        <v>95</v>
      </c>
      <c r="E216" s="2" t="s">
        <v>625</v>
      </c>
      <c r="F216">
        <v>18</v>
      </c>
      <c r="G216" t="s">
        <v>20</v>
      </c>
      <c r="H216" s="2" t="s">
        <v>625</v>
      </c>
      <c r="I216">
        <v>5</v>
      </c>
      <c r="J216" t="str">
        <f>IF(Table1[[#This Row],[Resolution_Date]]="NA","Unresolved","Resolved")</f>
        <v>Resolved</v>
      </c>
      <c r="K216">
        <f>IF(Table1[[#This Row],[Resolution_Date]]="NA"," ",Table1[[#This Row],[Resolution_Date]]-Table1[[#This Row],[Complaint_Date]])</f>
        <v>0</v>
      </c>
      <c r="L216" t="str">
        <f>TEXT(Table1[[#This Row],[Complaint_Date]],"MMM")</f>
        <v>May</v>
      </c>
      <c r="M216" t="str">
        <f>IF(Table1[[#This Row],[Resolution_Time_Hours]]&lt;=24,"Fast",IF(Table1[[#This Row],[Resolution_Time_Hours]]&lt;=72,"Medium","Slow"))</f>
        <v>Fast</v>
      </c>
    </row>
    <row r="217" spans="1:13" x14ac:dyDescent="0.3">
      <c r="A217" t="s">
        <v>648</v>
      </c>
      <c r="B217" t="s">
        <v>649</v>
      </c>
      <c r="C217" t="s">
        <v>53</v>
      </c>
      <c r="D217" t="s">
        <v>95</v>
      </c>
      <c r="E217" s="2" t="s">
        <v>107</v>
      </c>
      <c r="F217">
        <v>7</v>
      </c>
      <c r="G217" t="s">
        <v>20</v>
      </c>
      <c r="H217" s="2" t="s">
        <v>107</v>
      </c>
      <c r="I217">
        <v>4</v>
      </c>
      <c r="J217" t="str">
        <f>IF(Table1[[#This Row],[Resolution_Date]]="NA","Unresolved","Resolved")</f>
        <v>Resolved</v>
      </c>
      <c r="K217">
        <f>IF(Table1[[#This Row],[Resolution_Date]]="NA"," ",Table1[[#This Row],[Resolution_Date]]-Table1[[#This Row],[Complaint_Date]])</f>
        <v>0</v>
      </c>
      <c r="L217" t="str">
        <f>TEXT(Table1[[#This Row],[Complaint_Date]],"MMM")</f>
        <v>Sep</v>
      </c>
      <c r="M217" t="str">
        <f>IF(Table1[[#This Row],[Resolution_Time_Hours]]&lt;=24,"Fast",IF(Table1[[#This Row],[Resolution_Time_Hours]]&lt;=72,"Medium","Slow"))</f>
        <v>Fast</v>
      </c>
    </row>
    <row r="218" spans="1:13" x14ac:dyDescent="0.3">
      <c r="A218" t="s">
        <v>650</v>
      </c>
      <c r="B218" t="s">
        <v>651</v>
      </c>
      <c r="C218" t="s">
        <v>70</v>
      </c>
      <c r="D218" t="s">
        <v>27</v>
      </c>
      <c r="E218" s="2" t="s">
        <v>186</v>
      </c>
      <c r="F218">
        <v>12</v>
      </c>
      <c r="G218" t="s">
        <v>20</v>
      </c>
      <c r="H218" s="2" t="s">
        <v>186</v>
      </c>
      <c r="I218">
        <v>4</v>
      </c>
      <c r="J218" t="str">
        <f>IF(Table1[[#This Row],[Resolution_Date]]="NA","Unresolved","Resolved")</f>
        <v>Resolved</v>
      </c>
      <c r="K218">
        <f>IF(Table1[[#This Row],[Resolution_Date]]="NA"," ",Table1[[#This Row],[Resolution_Date]]-Table1[[#This Row],[Complaint_Date]])</f>
        <v>0</v>
      </c>
      <c r="L218" t="str">
        <f>TEXT(Table1[[#This Row],[Complaint_Date]],"MMM")</f>
        <v>Dec</v>
      </c>
      <c r="M218" t="str">
        <f>IF(Table1[[#This Row],[Resolution_Time_Hours]]&lt;=24,"Fast",IF(Table1[[#This Row],[Resolution_Time_Hours]]&lt;=72,"Medium","Slow"))</f>
        <v>Fast</v>
      </c>
    </row>
    <row r="219" spans="1:13" x14ac:dyDescent="0.3">
      <c r="A219" t="s">
        <v>652</v>
      </c>
      <c r="B219" t="s">
        <v>653</v>
      </c>
      <c r="C219" t="s">
        <v>43</v>
      </c>
      <c r="D219" t="s">
        <v>27</v>
      </c>
      <c r="E219" s="2" t="s">
        <v>654</v>
      </c>
      <c r="F219">
        <v>23</v>
      </c>
      <c r="G219" t="s">
        <v>20</v>
      </c>
      <c r="H219" s="2" t="s">
        <v>654</v>
      </c>
      <c r="I219">
        <v>3</v>
      </c>
      <c r="J219" t="str">
        <f>IF(Table1[[#This Row],[Resolution_Date]]="NA","Unresolved","Resolved")</f>
        <v>Resolved</v>
      </c>
      <c r="K219">
        <f>IF(Table1[[#This Row],[Resolution_Date]]="NA"," ",Table1[[#This Row],[Resolution_Date]]-Table1[[#This Row],[Complaint_Date]])</f>
        <v>0</v>
      </c>
      <c r="L219" t="str">
        <f>TEXT(Table1[[#This Row],[Complaint_Date]],"MMM")</f>
        <v>Dec</v>
      </c>
      <c r="M219" t="str">
        <f>IF(Table1[[#This Row],[Resolution_Time_Hours]]&lt;=24,"Fast",IF(Table1[[#This Row],[Resolution_Time_Hours]]&lt;=72,"Medium","Slow"))</f>
        <v>Fast</v>
      </c>
    </row>
    <row r="220" spans="1:13" x14ac:dyDescent="0.3">
      <c r="A220" t="s">
        <v>655</v>
      </c>
      <c r="B220" t="s">
        <v>656</v>
      </c>
      <c r="C220" t="s">
        <v>48</v>
      </c>
      <c r="D220" t="s">
        <v>27</v>
      </c>
      <c r="E220" s="2" t="s">
        <v>657</v>
      </c>
      <c r="F220">
        <v>32</v>
      </c>
      <c r="G220" t="s">
        <v>20</v>
      </c>
      <c r="H220" s="2" t="s">
        <v>658</v>
      </c>
      <c r="I220">
        <v>2</v>
      </c>
      <c r="J220" t="str">
        <f>IF(Table1[[#This Row],[Resolution_Date]]="NA","Unresolved","Resolved")</f>
        <v>Resolved</v>
      </c>
      <c r="K220">
        <f>IF(Table1[[#This Row],[Resolution_Date]]="NA"," ",Table1[[#This Row],[Resolution_Date]]-Table1[[#This Row],[Complaint_Date]])</f>
        <v>1</v>
      </c>
      <c r="L220" t="str">
        <f>TEXT(Table1[[#This Row],[Complaint_Date]],"MMM")</f>
        <v>Jul</v>
      </c>
      <c r="M220" t="str">
        <f>IF(Table1[[#This Row],[Resolution_Time_Hours]]&lt;=24,"Fast",IF(Table1[[#This Row],[Resolution_Time_Hours]]&lt;=72,"Medium","Slow"))</f>
        <v>Medium</v>
      </c>
    </row>
    <row r="221" spans="1:13" x14ac:dyDescent="0.3">
      <c r="A221" t="s">
        <v>659</v>
      </c>
      <c r="B221" t="s">
        <v>660</v>
      </c>
      <c r="C221" t="s">
        <v>48</v>
      </c>
      <c r="D221" t="s">
        <v>95</v>
      </c>
      <c r="E221" s="2" t="s">
        <v>280</v>
      </c>
      <c r="F221">
        <v>21</v>
      </c>
      <c r="G221" t="s">
        <v>14</v>
      </c>
      <c r="H221" s="2" t="s">
        <v>2820</v>
      </c>
      <c r="J221" t="str">
        <f>IF(Table1[[#This Row],[Resolution_Date]]="NA","Unresolved","Resolved")</f>
        <v>Unresolved</v>
      </c>
      <c r="K221" t="str">
        <f>IF(Table1[[#This Row],[Resolution_Date]]="NA"," ",Table1[[#This Row],[Resolution_Date]]-Table1[[#This Row],[Complaint_Date]])</f>
        <v xml:space="preserve"> </v>
      </c>
      <c r="L221" t="str">
        <f>TEXT(Table1[[#This Row],[Complaint_Date]],"MMM")</f>
        <v>Oct</v>
      </c>
      <c r="M221" t="str">
        <f>IF(Table1[[#This Row],[Resolution_Time_Hours]]&lt;=24,"Fast",IF(Table1[[#This Row],[Resolution_Time_Hours]]&lt;=72,"Medium","Slow"))</f>
        <v>Fast</v>
      </c>
    </row>
    <row r="222" spans="1:13" x14ac:dyDescent="0.3">
      <c r="A222" t="s">
        <v>661</v>
      </c>
      <c r="B222" t="s">
        <v>662</v>
      </c>
      <c r="C222" t="s">
        <v>43</v>
      </c>
      <c r="D222" t="s">
        <v>38</v>
      </c>
      <c r="E222" s="2" t="s">
        <v>663</v>
      </c>
      <c r="F222">
        <v>30</v>
      </c>
      <c r="G222" t="s">
        <v>14</v>
      </c>
      <c r="H222" s="2" t="s">
        <v>2820</v>
      </c>
      <c r="J222" t="str">
        <f>IF(Table1[[#This Row],[Resolution_Date]]="NA","Unresolved","Resolved")</f>
        <v>Unresolved</v>
      </c>
      <c r="K222" t="str">
        <f>IF(Table1[[#This Row],[Resolution_Date]]="NA"," ",Table1[[#This Row],[Resolution_Date]]-Table1[[#This Row],[Complaint_Date]])</f>
        <v xml:space="preserve"> </v>
      </c>
      <c r="L222" t="str">
        <f>TEXT(Table1[[#This Row],[Complaint_Date]],"MMM")</f>
        <v>Nov</v>
      </c>
      <c r="M222" t="str">
        <f>IF(Table1[[#This Row],[Resolution_Time_Hours]]&lt;=24,"Fast",IF(Table1[[#This Row],[Resolution_Time_Hours]]&lt;=72,"Medium","Slow"))</f>
        <v>Medium</v>
      </c>
    </row>
    <row r="223" spans="1:13" x14ac:dyDescent="0.3">
      <c r="A223" t="s">
        <v>664</v>
      </c>
      <c r="B223" t="s">
        <v>665</v>
      </c>
      <c r="C223" t="s">
        <v>53</v>
      </c>
      <c r="D223" t="s">
        <v>18</v>
      </c>
      <c r="E223" s="2" t="s">
        <v>666</v>
      </c>
      <c r="F223">
        <v>7</v>
      </c>
      <c r="G223" t="s">
        <v>20</v>
      </c>
      <c r="H223" s="2" t="s">
        <v>666</v>
      </c>
      <c r="I223">
        <v>4</v>
      </c>
      <c r="J223" t="str">
        <f>IF(Table1[[#This Row],[Resolution_Date]]="NA","Unresolved","Resolved")</f>
        <v>Resolved</v>
      </c>
      <c r="K223">
        <f>IF(Table1[[#This Row],[Resolution_Date]]="NA"," ",Table1[[#This Row],[Resolution_Date]]-Table1[[#This Row],[Complaint_Date]])</f>
        <v>0</v>
      </c>
      <c r="L223" t="str">
        <f>TEXT(Table1[[#This Row],[Complaint_Date]],"MMM")</f>
        <v>Jul</v>
      </c>
      <c r="M223" t="str">
        <f>IF(Table1[[#This Row],[Resolution_Time_Hours]]&lt;=24,"Fast",IF(Table1[[#This Row],[Resolution_Time_Hours]]&lt;=72,"Medium","Slow"))</f>
        <v>Fast</v>
      </c>
    </row>
    <row r="224" spans="1:13" x14ac:dyDescent="0.3">
      <c r="A224" t="s">
        <v>667</v>
      </c>
      <c r="B224" t="s">
        <v>668</v>
      </c>
      <c r="C224" t="s">
        <v>11</v>
      </c>
      <c r="D224" t="s">
        <v>12</v>
      </c>
      <c r="E224" s="2" t="s">
        <v>39</v>
      </c>
      <c r="F224">
        <v>27</v>
      </c>
      <c r="G224" t="s">
        <v>14</v>
      </c>
      <c r="H224" s="2" t="s">
        <v>2820</v>
      </c>
      <c r="J224" t="str">
        <f>IF(Table1[[#This Row],[Resolution_Date]]="NA","Unresolved","Resolved")</f>
        <v>Unresolved</v>
      </c>
      <c r="K224" t="str">
        <f>IF(Table1[[#This Row],[Resolution_Date]]="NA"," ",Table1[[#This Row],[Resolution_Date]]-Table1[[#This Row],[Complaint_Date]])</f>
        <v xml:space="preserve"> </v>
      </c>
      <c r="L224" t="str">
        <f>TEXT(Table1[[#This Row],[Complaint_Date]],"MMM")</f>
        <v>Jun</v>
      </c>
      <c r="M224" t="str">
        <f>IF(Table1[[#This Row],[Resolution_Time_Hours]]&lt;=24,"Fast",IF(Table1[[#This Row],[Resolution_Time_Hours]]&lt;=72,"Medium","Slow"))</f>
        <v>Medium</v>
      </c>
    </row>
    <row r="225" spans="1:13" x14ac:dyDescent="0.3">
      <c r="A225" t="s">
        <v>669</v>
      </c>
      <c r="B225" t="s">
        <v>670</v>
      </c>
      <c r="C225" t="s">
        <v>11</v>
      </c>
      <c r="D225" t="s">
        <v>27</v>
      </c>
      <c r="E225" s="2" t="s">
        <v>671</v>
      </c>
      <c r="F225">
        <v>24</v>
      </c>
      <c r="G225" t="s">
        <v>14</v>
      </c>
      <c r="H225" s="2" t="s">
        <v>2820</v>
      </c>
      <c r="J225" t="str">
        <f>IF(Table1[[#This Row],[Resolution_Date]]="NA","Unresolved","Resolved")</f>
        <v>Unresolved</v>
      </c>
      <c r="K225" t="str">
        <f>IF(Table1[[#This Row],[Resolution_Date]]="NA"," ",Table1[[#This Row],[Resolution_Date]]-Table1[[#This Row],[Complaint_Date]])</f>
        <v xml:space="preserve"> </v>
      </c>
      <c r="L225" t="str">
        <f>TEXT(Table1[[#This Row],[Complaint_Date]],"MMM")</f>
        <v>Aug</v>
      </c>
      <c r="M225" t="str">
        <f>IF(Table1[[#This Row],[Resolution_Time_Hours]]&lt;=24,"Fast",IF(Table1[[#This Row],[Resolution_Time_Hours]]&lt;=72,"Medium","Slow"))</f>
        <v>Fast</v>
      </c>
    </row>
    <row r="226" spans="1:13" x14ac:dyDescent="0.3">
      <c r="A226" t="s">
        <v>672</v>
      </c>
      <c r="B226" t="s">
        <v>673</v>
      </c>
      <c r="C226" t="s">
        <v>11</v>
      </c>
      <c r="D226" t="s">
        <v>27</v>
      </c>
      <c r="E226" s="2" t="s">
        <v>590</v>
      </c>
      <c r="F226">
        <v>23</v>
      </c>
      <c r="G226" t="s">
        <v>20</v>
      </c>
      <c r="H226" s="2" t="s">
        <v>590</v>
      </c>
      <c r="I226">
        <v>3</v>
      </c>
      <c r="J226" t="str">
        <f>IF(Table1[[#This Row],[Resolution_Date]]="NA","Unresolved","Resolved")</f>
        <v>Resolved</v>
      </c>
      <c r="K226">
        <f>IF(Table1[[#This Row],[Resolution_Date]]="NA"," ",Table1[[#This Row],[Resolution_Date]]-Table1[[#This Row],[Complaint_Date]])</f>
        <v>0</v>
      </c>
      <c r="L226" t="str">
        <f>TEXT(Table1[[#This Row],[Complaint_Date]],"MMM")</f>
        <v>Aug</v>
      </c>
      <c r="M226" t="str">
        <f>IF(Table1[[#This Row],[Resolution_Time_Hours]]&lt;=24,"Fast",IF(Table1[[#This Row],[Resolution_Time_Hours]]&lt;=72,"Medium","Slow"))</f>
        <v>Fast</v>
      </c>
    </row>
    <row r="227" spans="1:13" x14ac:dyDescent="0.3">
      <c r="A227" t="s">
        <v>674</v>
      </c>
      <c r="B227" t="s">
        <v>675</v>
      </c>
      <c r="C227" t="s">
        <v>43</v>
      </c>
      <c r="D227" t="s">
        <v>38</v>
      </c>
      <c r="E227" s="2" t="s">
        <v>676</v>
      </c>
      <c r="F227">
        <v>67</v>
      </c>
      <c r="G227" t="s">
        <v>20</v>
      </c>
      <c r="H227" s="2" t="s">
        <v>54</v>
      </c>
      <c r="I227">
        <v>1</v>
      </c>
      <c r="J227" t="str">
        <f>IF(Table1[[#This Row],[Resolution_Date]]="NA","Unresolved","Resolved")</f>
        <v>Resolved</v>
      </c>
      <c r="K227">
        <f>IF(Table1[[#This Row],[Resolution_Date]]="NA"," ",Table1[[#This Row],[Resolution_Date]]-Table1[[#This Row],[Complaint_Date]])</f>
        <v>2</v>
      </c>
      <c r="L227" t="str">
        <f>TEXT(Table1[[#This Row],[Complaint_Date]],"MMM")</f>
        <v>Mar</v>
      </c>
      <c r="M227" t="str">
        <f>IF(Table1[[#This Row],[Resolution_Time_Hours]]&lt;=24,"Fast",IF(Table1[[#This Row],[Resolution_Time_Hours]]&lt;=72,"Medium","Slow"))</f>
        <v>Medium</v>
      </c>
    </row>
    <row r="228" spans="1:13" x14ac:dyDescent="0.3">
      <c r="A228" t="s">
        <v>677</v>
      </c>
      <c r="B228" t="s">
        <v>678</v>
      </c>
      <c r="C228" t="s">
        <v>110</v>
      </c>
      <c r="D228" t="s">
        <v>18</v>
      </c>
      <c r="E228" s="2" t="s">
        <v>594</v>
      </c>
      <c r="F228">
        <v>3</v>
      </c>
      <c r="G228" t="s">
        <v>14</v>
      </c>
      <c r="H228" s="2" t="s">
        <v>2820</v>
      </c>
      <c r="J228" t="str">
        <f>IF(Table1[[#This Row],[Resolution_Date]]="NA","Unresolved","Resolved")</f>
        <v>Unresolved</v>
      </c>
      <c r="K228" t="str">
        <f>IF(Table1[[#This Row],[Resolution_Date]]="NA"," ",Table1[[#This Row],[Resolution_Date]]-Table1[[#This Row],[Complaint_Date]])</f>
        <v xml:space="preserve"> </v>
      </c>
      <c r="L228" t="str">
        <f>TEXT(Table1[[#This Row],[Complaint_Date]],"MMM")</f>
        <v>Apr</v>
      </c>
      <c r="M228" t="str">
        <f>IF(Table1[[#This Row],[Resolution_Time_Hours]]&lt;=24,"Fast",IF(Table1[[#This Row],[Resolution_Time_Hours]]&lt;=72,"Medium","Slow"))</f>
        <v>Fast</v>
      </c>
    </row>
    <row r="229" spans="1:13" x14ac:dyDescent="0.3">
      <c r="A229" t="s">
        <v>679</v>
      </c>
      <c r="B229" t="s">
        <v>680</v>
      </c>
      <c r="C229" t="s">
        <v>53</v>
      </c>
      <c r="D229" t="s">
        <v>95</v>
      </c>
      <c r="E229" s="2" t="s">
        <v>681</v>
      </c>
      <c r="F229">
        <v>6</v>
      </c>
      <c r="G229" t="s">
        <v>14</v>
      </c>
      <c r="H229" s="2" t="s">
        <v>2820</v>
      </c>
      <c r="J229" t="str">
        <f>IF(Table1[[#This Row],[Resolution_Date]]="NA","Unresolved","Resolved")</f>
        <v>Unresolved</v>
      </c>
      <c r="K229" t="str">
        <f>IF(Table1[[#This Row],[Resolution_Date]]="NA"," ",Table1[[#This Row],[Resolution_Date]]-Table1[[#This Row],[Complaint_Date]])</f>
        <v xml:space="preserve"> </v>
      </c>
      <c r="L229" t="str">
        <f>TEXT(Table1[[#This Row],[Complaint_Date]],"MMM")</f>
        <v>Apr</v>
      </c>
      <c r="M229" t="str">
        <f>IF(Table1[[#This Row],[Resolution_Time_Hours]]&lt;=24,"Fast",IF(Table1[[#This Row],[Resolution_Time_Hours]]&lt;=72,"Medium","Slow"))</f>
        <v>Fast</v>
      </c>
    </row>
    <row r="230" spans="1:13" x14ac:dyDescent="0.3">
      <c r="A230" t="s">
        <v>682</v>
      </c>
      <c r="B230" t="s">
        <v>683</v>
      </c>
      <c r="C230" t="s">
        <v>43</v>
      </c>
      <c r="D230" t="s">
        <v>95</v>
      </c>
      <c r="E230" s="2" t="s">
        <v>398</v>
      </c>
      <c r="F230">
        <v>20</v>
      </c>
      <c r="G230" t="s">
        <v>14</v>
      </c>
      <c r="H230" s="2" t="s">
        <v>2820</v>
      </c>
      <c r="J230" t="str">
        <f>IF(Table1[[#This Row],[Resolution_Date]]="NA","Unresolved","Resolved")</f>
        <v>Unresolved</v>
      </c>
      <c r="K230" t="str">
        <f>IF(Table1[[#This Row],[Resolution_Date]]="NA"," ",Table1[[#This Row],[Resolution_Date]]-Table1[[#This Row],[Complaint_Date]])</f>
        <v xml:space="preserve"> </v>
      </c>
      <c r="L230" t="str">
        <f>TEXT(Table1[[#This Row],[Complaint_Date]],"MMM")</f>
        <v>Oct</v>
      </c>
      <c r="M230" t="str">
        <f>IF(Table1[[#This Row],[Resolution_Time_Hours]]&lt;=24,"Fast",IF(Table1[[#This Row],[Resolution_Time_Hours]]&lt;=72,"Medium","Slow"))</f>
        <v>Fast</v>
      </c>
    </row>
    <row r="231" spans="1:13" x14ac:dyDescent="0.3">
      <c r="A231" t="s">
        <v>684</v>
      </c>
      <c r="B231" t="s">
        <v>685</v>
      </c>
      <c r="C231" t="s">
        <v>43</v>
      </c>
      <c r="D231" t="s">
        <v>18</v>
      </c>
      <c r="E231" s="2" t="s">
        <v>686</v>
      </c>
      <c r="F231">
        <v>31</v>
      </c>
      <c r="G231" t="s">
        <v>20</v>
      </c>
      <c r="H231" s="2" t="s">
        <v>687</v>
      </c>
      <c r="I231">
        <v>2</v>
      </c>
      <c r="J231" t="str">
        <f>IF(Table1[[#This Row],[Resolution_Date]]="NA","Unresolved","Resolved")</f>
        <v>Resolved</v>
      </c>
      <c r="K231">
        <f>IF(Table1[[#This Row],[Resolution_Date]]="NA"," ",Table1[[#This Row],[Resolution_Date]]-Table1[[#This Row],[Complaint_Date]])</f>
        <v>1</v>
      </c>
      <c r="L231" t="str">
        <f>TEXT(Table1[[#This Row],[Complaint_Date]],"MMM")</f>
        <v>Nov</v>
      </c>
      <c r="M231" t="str">
        <f>IF(Table1[[#This Row],[Resolution_Time_Hours]]&lt;=24,"Fast",IF(Table1[[#This Row],[Resolution_Time_Hours]]&lt;=72,"Medium","Slow"))</f>
        <v>Medium</v>
      </c>
    </row>
    <row r="232" spans="1:13" x14ac:dyDescent="0.3">
      <c r="A232" t="s">
        <v>688</v>
      </c>
      <c r="B232" t="s">
        <v>689</v>
      </c>
      <c r="C232" t="s">
        <v>34</v>
      </c>
      <c r="D232" t="s">
        <v>95</v>
      </c>
      <c r="E232" s="2" t="s">
        <v>690</v>
      </c>
      <c r="F232">
        <v>48</v>
      </c>
      <c r="G232" t="s">
        <v>40</v>
      </c>
      <c r="H232" s="2" t="s">
        <v>2820</v>
      </c>
      <c r="J232" t="str">
        <f>IF(Table1[[#This Row],[Resolution_Date]]="NA","Unresolved","Resolved")</f>
        <v>Unresolved</v>
      </c>
      <c r="K232" t="str">
        <f>IF(Table1[[#This Row],[Resolution_Date]]="NA"," ",Table1[[#This Row],[Resolution_Date]]-Table1[[#This Row],[Complaint_Date]])</f>
        <v xml:space="preserve"> </v>
      </c>
      <c r="L232" t="str">
        <f>TEXT(Table1[[#This Row],[Complaint_Date]],"MMM")</f>
        <v>Jan</v>
      </c>
      <c r="M232" t="str">
        <f>IF(Table1[[#This Row],[Resolution_Time_Hours]]&lt;=24,"Fast",IF(Table1[[#This Row],[Resolution_Time_Hours]]&lt;=72,"Medium","Slow"))</f>
        <v>Medium</v>
      </c>
    </row>
    <row r="233" spans="1:13" x14ac:dyDescent="0.3">
      <c r="A233" t="s">
        <v>691</v>
      </c>
      <c r="B233" t="s">
        <v>692</v>
      </c>
      <c r="C233" t="s">
        <v>11</v>
      </c>
      <c r="D233" t="s">
        <v>95</v>
      </c>
      <c r="E233" s="2" t="s">
        <v>183</v>
      </c>
      <c r="F233">
        <v>10</v>
      </c>
      <c r="G233" t="s">
        <v>40</v>
      </c>
      <c r="H233" s="2" t="s">
        <v>2820</v>
      </c>
      <c r="J233" t="str">
        <f>IF(Table1[[#This Row],[Resolution_Date]]="NA","Unresolved","Resolved")</f>
        <v>Unresolved</v>
      </c>
      <c r="K233" t="str">
        <f>IF(Table1[[#This Row],[Resolution_Date]]="NA"," ",Table1[[#This Row],[Resolution_Date]]-Table1[[#This Row],[Complaint_Date]])</f>
        <v xml:space="preserve"> </v>
      </c>
      <c r="L233" t="str">
        <f>TEXT(Table1[[#This Row],[Complaint_Date]],"MMM")</f>
        <v>Feb</v>
      </c>
      <c r="M233" t="str">
        <f>IF(Table1[[#This Row],[Resolution_Time_Hours]]&lt;=24,"Fast",IF(Table1[[#This Row],[Resolution_Time_Hours]]&lt;=72,"Medium","Slow"))</f>
        <v>Fast</v>
      </c>
    </row>
    <row r="234" spans="1:13" x14ac:dyDescent="0.3">
      <c r="A234" t="s">
        <v>693</v>
      </c>
      <c r="B234" t="s">
        <v>694</v>
      </c>
      <c r="C234" t="s">
        <v>34</v>
      </c>
      <c r="D234" t="s">
        <v>12</v>
      </c>
      <c r="E234" s="2" t="s">
        <v>695</v>
      </c>
      <c r="F234">
        <v>95</v>
      </c>
      <c r="G234" t="s">
        <v>20</v>
      </c>
      <c r="H234" s="2" t="s">
        <v>96</v>
      </c>
      <c r="I234">
        <v>1</v>
      </c>
      <c r="J234" t="str">
        <f>IF(Table1[[#This Row],[Resolution_Date]]="NA","Unresolved","Resolved")</f>
        <v>Resolved</v>
      </c>
      <c r="K234">
        <f>IF(Table1[[#This Row],[Resolution_Date]]="NA"," ",Table1[[#This Row],[Resolution_Date]]-Table1[[#This Row],[Complaint_Date]])</f>
        <v>3</v>
      </c>
      <c r="L234" t="str">
        <f>TEXT(Table1[[#This Row],[Complaint_Date]],"MMM")</f>
        <v>Feb</v>
      </c>
      <c r="M234" t="str">
        <f>IF(Table1[[#This Row],[Resolution_Time_Hours]]&lt;=24,"Fast",IF(Table1[[#This Row],[Resolution_Time_Hours]]&lt;=72,"Medium","Slow"))</f>
        <v>Slow</v>
      </c>
    </row>
    <row r="235" spans="1:13" x14ac:dyDescent="0.3">
      <c r="A235" t="s">
        <v>696</v>
      </c>
      <c r="B235" t="s">
        <v>697</v>
      </c>
      <c r="C235" t="s">
        <v>11</v>
      </c>
      <c r="D235" t="s">
        <v>27</v>
      </c>
      <c r="E235" s="2" t="s">
        <v>127</v>
      </c>
      <c r="F235">
        <v>48</v>
      </c>
      <c r="G235" t="s">
        <v>20</v>
      </c>
      <c r="H235" s="2" t="s">
        <v>366</v>
      </c>
      <c r="I235">
        <v>5</v>
      </c>
      <c r="J235" t="str">
        <f>IF(Table1[[#This Row],[Resolution_Date]]="NA","Unresolved","Resolved")</f>
        <v>Resolved</v>
      </c>
      <c r="K235">
        <f>IF(Table1[[#This Row],[Resolution_Date]]="NA"," ",Table1[[#This Row],[Resolution_Date]]-Table1[[#This Row],[Complaint_Date]])</f>
        <v>2</v>
      </c>
      <c r="L235" t="str">
        <f>TEXT(Table1[[#This Row],[Complaint_Date]],"MMM")</f>
        <v>Aug</v>
      </c>
      <c r="M235" t="str">
        <f>IF(Table1[[#This Row],[Resolution_Time_Hours]]&lt;=24,"Fast",IF(Table1[[#This Row],[Resolution_Time_Hours]]&lt;=72,"Medium","Slow"))</f>
        <v>Medium</v>
      </c>
    </row>
    <row r="236" spans="1:13" x14ac:dyDescent="0.3">
      <c r="A236" t="s">
        <v>698</v>
      </c>
      <c r="B236" t="s">
        <v>699</v>
      </c>
      <c r="C236" t="s">
        <v>11</v>
      </c>
      <c r="D236" t="s">
        <v>12</v>
      </c>
      <c r="E236" s="2" t="s">
        <v>700</v>
      </c>
      <c r="F236">
        <v>43</v>
      </c>
      <c r="G236" t="s">
        <v>20</v>
      </c>
      <c r="H236" s="2" t="s">
        <v>507</v>
      </c>
      <c r="I236">
        <v>5</v>
      </c>
      <c r="J236" t="str">
        <f>IF(Table1[[#This Row],[Resolution_Date]]="NA","Unresolved","Resolved")</f>
        <v>Resolved</v>
      </c>
      <c r="K236">
        <f>IF(Table1[[#This Row],[Resolution_Date]]="NA"," ",Table1[[#This Row],[Resolution_Date]]-Table1[[#This Row],[Complaint_Date]])</f>
        <v>1</v>
      </c>
      <c r="L236" t="str">
        <f>TEXT(Table1[[#This Row],[Complaint_Date]],"MMM")</f>
        <v>Oct</v>
      </c>
      <c r="M236" t="str">
        <f>IF(Table1[[#This Row],[Resolution_Time_Hours]]&lt;=24,"Fast",IF(Table1[[#This Row],[Resolution_Time_Hours]]&lt;=72,"Medium","Slow"))</f>
        <v>Medium</v>
      </c>
    </row>
    <row r="237" spans="1:13" x14ac:dyDescent="0.3">
      <c r="A237" t="s">
        <v>701</v>
      </c>
      <c r="B237" t="s">
        <v>702</v>
      </c>
      <c r="C237" t="s">
        <v>43</v>
      </c>
      <c r="D237" t="s">
        <v>95</v>
      </c>
      <c r="E237" s="2" t="s">
        <v>555</v>
      </c>
      <c r="F237">
        <v>28</v>
      </c>
      <c r="G237" t="s">
        <v>14</v>
      </c>
      <c r="H237" s="2" t="s">
        <v>2820</v>
      </c>
      <c r="J237" t="str">
        <f>IF(Table1[[#This Row],[Resolution_Date]]="NA","Unresolved","Resolved")</f>
        <v>Unresolved</v>
      </c>
      <c r="K237" t="str">
        <f>IF(Table1[[#This Row],[Resolution_Date]]="NA"," ",Table1[[#This Row],[Resolution_Date]]-Table1[[#This Row],[Complaint_Date]])</f>
        <v xml:space="preserve"> </v>
      </c>
      <c r="L237" t="str">
        <f>TEXT(Table1[[#This Row],[Complaint_Date]],"MMM")</f>
        <v>Mar</v>
      </c>
      <c r="M237" t="str">
        <f>IF(Table1[[#This Row],[Resolution_Time_Hours]]&lt;=24,"Fast",IF(Table1[[#This Row],[Resolution_Time_Hours]]&lt;=72,"Medium","Slow"))</f>
        <v>Medium</v>
      </c>
    </row>
    <row r="238" spans="1:13" x14ac:dyDescent="0.3">
      <c r="A238" t="s">
        <v>703</v>
      </c>
      <c r="B238" t="s">
        <v>704</v>
      </c>
      <c r="C238" t="s">
        <v>34</v>
      </c>
      <c r="D238" t="s">
        <v>38</v>
      </c>
      <c r="E238" s="2" t="s">
        <v>705</v>
      </c>
      <c r="F238">
        <v>79</v>
      </c>
      <c r="G238" t="s">
        <v>20</v>
      </c>
      <c r="H238" s="2" t="s">
        <v>44</v>
      </c>
      <c r="I238">
        <v>1</v>
      </c>
      <c r="J238" t="str">
        <f>IF(Table1[[#This Row],[Resolution_Date]]="NA","Unresolved","Resolved")</f>
        <v>Resolved</v>
      </c>
      <c r="K238">
        <f>IF(Table1[[#This Row],[Resolution_Date]]="NA"," ",Table1[[#This Row],[Resolution_Date]]-Table1[[#This Row],[Complaint_Date]])</f>
        <v>3</v>
      </c>
      <c r="L238" t="str">
        <f>TEXT(Table1[[#This Row],[Complaint_Date]],"MMM")</f>
        <v>Nov</v>
      </c>
      <c r="M238" t="str">
        <f>IF(Table1[[#This Row],[Resolution_Time_Hours]]&lt;=24,"Fast",IF(Table1[[#This Row],[Resolution_Time_Hours]]&lt;=72,"Medium","Slow"))</f>
        <v>Slow</v>
      </c>
    </row>
    <row r="239" spans="1:13" x14ac:dyDescent="0.3">
      <c r="A239" t="s">
        <v>706</v>
      </c>
      <c r="B239" t="s">
        <v>707</v>
      </c>
      <c r="C239" t="s">
        <v>53</v>
      </c>
      <c r="D239" t="s">
        <v>27</v>
      </c>
      <c r="E239" s="2" t="s">
        <v>708</v>
      </c>
      <c r="F239">
        <v>2</v>
      </c>
      <c r="G239" t="s">
        <v>40</v>
      </c>
      <c r="H239" s="2" t="s">
        <v>2820</v>
      </c>
      <c r="J239" t="str">
        <f>IF(Table1[[#This Row],[Resolution_Date]]="NA","Unresolved","Resolved")</f>
        <v>Unresolved</v>
      </c>
      <c r="K239" t="str">
        <f>IF(Table1[[#This Row],[Resolution_Date]]="NA"," ",Table1[[#This Row],[Resolution_Date]]-Table1[[#This Row],[Complaint_Date]])</f>
        <v xml:space="preserve"> </v>
      </c>
      <c r="L239" t="str">
        <f>TEXT(Table1[[#This Row],[Complaint_Date]],"MMM")</f>
        <v>Jan</v>
      </c>
      <c r="M239" t="str">
        <f>IF(Table1[[#This Row],[Resolution_Time_Hours]]&lt;=24,"Fast",IF(Table1[[#This Row],[Resolution_Time_Hours]]&lt;=72,"Medium","Slow"))</f>
        <v>Fast</v>
      </c>
    </row>
    <row r="240" spans="1:13" x14ac:dyDescent="0.3">
      <c r="A240" t="s">
        <v>709</v>
      </c>
      <c r="B240" t="s">
        <v>710</v>
      </c>
      <c r="C240" t="s">
        <v>11</v>
      </c>
      <c r="D240" t="s">
        <v>18</v>
      </c>
      <c r="E240" s="2" t="s">
        <v>147</v>
      </c>
      <c r="F240">
        <v>34</v>
      </c>
      <c r="G240" t="s">
        <v>20</v>
      </c>
      <c r="H240" s="2" t="s">
        <v>711</v>
      </c>
      <c r="I240">
        <v>2</v>
      </c>
      <c r="J240" t="str">
        <f>IF(Table1[[#This Row],[Resolution_Date]]="NA","Unresolved","Resolved")</f>
        <v>Resolved</v>
      </c>
      <c r="K240">
        <f>IF(Table1[[#This Row],[Resolution_Date]]="NA"," ",Table1[[#This Row],[Resolution_Date]]-Table1[[#This Row],[Complaint_Date]])</f>
        <v>1</v>
      </c>
      <c r="L240" t="str">
        <f>TEXT(Table1[[#This Row],[Complaint_Date]],"MMM")</f>
        <v>Aug</v>
      </c>
      <c r="M240" t="str">
        <f>IF(Table1[[#This Row],[Resolution_Time_Hours]]&lt;=24,"Fast",IF(Table1[[#This Row],[Resolution_Time_Hours]]&lt;=72,"Medium","Slow"))</f>
        <v>Medium</v>
      </c>
    </row>
    <row r="241" spans="1:13" x14ac:dyDescent="0.3">
      <c r="A241" t="s">
        <v>712</v>
      </c>
      <c r="B241" t="s">
        <v>713</v>
      </c>
      <c r="C241" t="s">
        <v>43</v>
      </c>
      <c r="D241" t="s">
        <v>38</v>
      </c>
      <c r="E241" s="2" t="s">
        <v>64</v>
      </c>
      <c r="F241">
        <v>30</v>
      </c>
      <c r="G241" t="s">
        <v>20</v>
      </c>
      <c r="H241" s="2" t="s">
        <v>590</v>
      </c>
      <c r="I241">
        <v>2</v>
      </c>
      <c r="J241" t="str">
        <f>IF(Table1[[#This Row],[Resolution_Date]]="NA","Unresolved","Resolved")</f>
        <v>Resolved</v>
      </c>
      <c r="K241">
        <f>IF(Table1[[#This Row],[Resolution_Date]]="NA"," ",Table1[[#This Row],[Resolution_Date]]-Table1[[#This Row],[Complaint_Date]])</f>
        <v>1</v>
      </c>
      <c r="L241" t="str">
        <f>TEXT(Table1[[#This Row],[Complaint_Date]],"MMM")</f>
        <v>Aug</v>
      </c>
      <c r="M241" t="str">
        <f>IF(Table1[[#This Row],[Resolution_Time_Hours]]&lt;=24,"Fast",IF(Table1[[#This Row],[Resolution_Time_Hours]]&lt;=72,"Medium","Slow"))</f>
        <v>Medium</v>
      </c>
    </row>
    <row r="242" spans="1:13" x14ac:dyDescent="0.3">
      <c r="A242" t="s">
        <v>714</v>
      </c>
      <c r="B242" t="s">
        <v>715</v>
      </c>
      <c r="C242" t="s">
        <v>43</v>
      </c>
      <c r="D242" t="s">
        <v>18</v>
      </c>
      <c r="E242" s="2" t="s">
        <v>377</v>
      </c>
      <c r="F242">
        <v>62</v>
      </c>
      <c r="G242" t="s">
        <v>40</v>
      </c>
      <c r="H242" s="2" t="s">
        <v>2820</v>
      </c>
      <c r="J242" t="str">
        <f>IF(Table1[[#This Row],[Resolution_Date]]="NA","Unresolved","Resolved")</f>
        <v>Unresolved</v>
      </c>
      <c r="K242" t="str">
        <f>IF(Table1[[#This Row],[Resolution_Date]]="NA"," ",Table1[[#This Row],[Resolution_Date]]-Table1[[#This Row],[Complaint_Date]])</f>
        <v xml:space="preserve"> </v>
      </c>
      <c r="L242" t="str">
        <f>TEXT(Table1[[#This Row],[Complaint_Date]],"MMM")</f>
        <v>Jul</v>
      </c>
      <c r="M242" t="str">
        <f>IF(Table1[[#This Row],[Resolution_Time_Hours]]&lt;=24,"Fast",IF(Table1[[#This Row],[Resolution_Time_Hours]]&lt;=72,"Medium","Slow"))</f>
        <v>Medium</v>
      </c>
    </row>
    <row r="243" spans="1:13" x14ac:dyDescent="0.3">
      <c r="A243" t="s">
        <v>716</v>
      </c>
      <c r="B243" t="s">
        <v>717</v>
      </c>
      <c r="C243" t="s">
        <v>17</v>
      </c>
      <c r="D243" t="s">
        <v>27</v>
      </c>
      <c r="E243" s="2" t="s">
        <v>718</v>
      </c>
      <c r="F243">
        <v>20</v>
      </c>
      <c r="G243" t="s">
        <v>20</v>
      </c>
      <c r="H243" s="2" t="s">
        <v>718</v>
      </c>
      <c r="I243">
        <v>3</v>
      </c>
      <c r="J243" t="str">
        <f>IF(Table1[[#This Row],[Resolution_Date]]="NA","Unresolved","Resolved")</f>
        <v>Resolved</v>
      </c>
      <c r="K243">
        <f>IF(Table1[[#This Row],[Resolution_Date]]="NA"," ",Table1[[#This Row],[Resolution_Date]]-Table1[[#This Row],[Complaint_Date]])</f>
        <v>0</v>
      </c>
      <c r="L243" t="str">
        <f>TEXT(Table1[[#This Row],[Complaint_Date]],"MMM")</f>
        <v>Mar</v>
      </c>
      <c r="M243" t="str">
        <f>IF(Table1[[#This Row],[Resolution_Time_Hours]]&lt;=24,"Fast",IF(Table1[[#This Row],[Resolution_Time_Hours]]&lt;=72,"Medium","Slow"))</f>
        <v>Fast</v>
      </c>
    </row>
    <row r="244" spans="1:13" x14ac:dyDescent="0.3">
      <c r="A244" t="s">
        <v>719</v>
      </c>
      <c r="B244" t="s">
        <v>720</v>
      </c>
      <c r="C244" t="s">
        <v>11</v>
      </c>
      <c r="D244" t="s">
        <v>27</v>
      </c>
      <c r="E244" s="2" t="s">
        <v>525</v>
      </c>
      <c r="F244">
        <v>27</v>
      </c>
      <c r="G244" t="s">
        <v>40</v>
      </c>
      <c r="H244" s="2" t="s">
        <v>2820</v>
      </c>
      <c r="J244" t="str">
        <f>IF(Table1[[#This Row],[Resolution_Date]]="NA","Unresolved","Resolved")</f>
        <v>Unresolved</v>
      </c>
      <c r="K244" t="str">
        <f>IF(Table1[[#This Row],[Resolution_Date]]="NA"," ",Table1[[#This Row],[Resolution_Date]]-Table1[[#This Row],[Complaint_Date]])</f>
        <v xml:space="preserve"> </v>
      </c>
      <c r="L244" t="str">
        <f>TEXT(Table1[[#This Row],[Complaint_Date]],"MMM")</f>
        <v>Mar</v>
      </c>
      <c r="M244" t="str">
        <f>IF(Table1[[#This Row],[Resolution_Time_Hours]]&lt;=24,"Fast",IF(Table1[[#This Row],[Resolution_Time_Hours]]&lt;=72,"Medium","Slow"))</f>
        <v>Medium</v>
      </c>
    </row>
    <row r="245" spans="1:13" x14ac:dyDescent="0.3">
      <c r="A245" t="s">
        <v>721</v>
      </c>
      <c r="B245" t="s">
        <v>722</v>
      </c>
      <c r="C245" t="s">
        <v>70</v>
      </c>
      <c r="D245" t="s">
        <v>95</v>
      </c>
      <c r="E245" s="2" t="s">
        <v>538</v>
      </c>
      <c r="F245">
        <v>7</v>
      </c>
      <c r="G245" t="s">
        <v>20</v>
      </c>
      <c r="H245" s="2" t="s">
        <v>538</v>
      </c>
      <c r="I245">
        <v>4</v>
      </c>
      <c r="J245" t="str">
        <f>IF(Table1[[#This Row],[Resolution_Date]]="NA","Unresolved","Resolved")</f>
        <v>Resolved</v>
      </c>
      <c r="K245">
        <f>IF(Table1[[#This Row],[Resolution_Date]]="NA"," ",Table1[[#This Row],[Resolution_Date]]-Table1[[#This Row],[Complaint_Date]])</f>
        <v>0</v>
      </c>
      <c r="L245" t="str">
        <f>TEXT(Table1[[#This Row],[Complaint_Date]],"MMM")</f>
        <v>Sep</v>
      </c>
      <c r="M245" t="str">
        <f>IF(Table1[[#This Row],[Resolution_Time_Hours]]&lt;=24,"Fast",IF(Table1[[#This Row],[Resolution_Time_Hours]]&lt;=72,"Medium","Slow"))</f>
        <v>Fast</v>
      </c>
    </row>
    <row r="246" spans="1:13" x14ac:dyDescent="0.3">
      <c r="A246" t="s">
        <v>723</v>
      </c>
      <c r="B246" t="s">
        <v>724</v>
      </c>
      <c r="C246" t="s">
        <v>17</v>
      </c>
      <c r="D246" t="s">
        <v>12</v>
      </c>
      <c r="E246" s="2" t="s">
        <v>89</v>
      </c>
      <c r="F246">
        <v>10</v>
      </c>
      <c r="G246" t="s">
        <v>20</v>
      </c>
      <c r="H246" s="2" t="s">
        <v>89</v>
      </c>
      <c r="I246">
        <v>4</v>
      </c>
      <c r="J246" t="str">
        <f>IF(Table1[[#This Row],[Resolution_Date]]="NA","Unresolved","Resolved")</f>
        <v>Resolved</v>
      </c>
      <c r="K246">
        <f>IF(Table1[[#This Row],[Resolution_Date]]="NA"," ",Table1[[#This Row],[Resolution_Date]]-Table1[[#This Row],[Complaint_Date]])</f>
        <v>0</v>
      </c>
      <c r="L246" t="str">
        <f>TEXT(Table1[[#This Row],[Complaint_Date]],"MMM")</f>
        <v>Jun</v>
      </c>
      <c r="M246" t="str">
        <f>IF(Table1[[#This Row],[Resolution_Time_Hours]]&lt;=24,"Fast",IF(Table1[[#This Row],[Resolution_Time_Hours]]&lt;=72,"Medium","Slow"))</f>
        <v>Fast</v>
      </c>
    </row>
    <row r="247" spans="1:13" x14ac:dyDescent="0.3">
      <c r="A247" t="s">
        <v>725</v>
      </c>
      <c r="B247" t="s">
        <v>726</v>
      </c>
      <c r="C247" t="s">
        <v>53</v>
      </c>
      <c r="D247" t="s">
        <v>12</v>
      </c>
      <c r="E247" s="2" t="s">
        <v>274</v>
      </c>
      <c r="F247">
        <v>6</v>
      </c>
      <c r="G247" t="s">
        <v>20</v>
      </c>
      <c r="H247" s="2" t="s">
        <v>274</v>
      </c>
      <c r="I247">
        <v>5</v>
      </c>
      <c r="J247" t="str">
        <f>IF(Table1[[#This Row],[Resolution_Date]]="NA","Unresolved","Resolved")</f>
        <v>Resolved</v>
      </c>
      <c r="K247">
        <f>IF(Table1[[#This Row],[Resolution_Date]]="NA"," ",Table1[[#This Row],[Resolution_Date]]-Table1[[#This Row],[Complaint_Date]])</f>
        <v>0</v>
      </c>
      <c r="L247" t="str">
        <f>TEXT(Table1[[#This Row],[Complaint_Date]],"MMM")</f>
        <v>Nov</v>
      </c>
      <c r="M247" t="str">
        <f>IF(Table1[[#This Row],[Resolution_Time_Hours]]&lt;=24,"Fast",IF(Table1[[#This Row],[Resolution_Time_Hours]]&lt;=72,"Medium","Slow"))</f>
        <v>Fast</v>
      </c>
    </row>
    <row r="248" spans="1:13" x14ac:dyDescent="0.3">
      <c r="A248" t="s">
        <v>727</v>
      </c>
      <c r="B248" t="s">
        <v>728</v>
      </c>
      <c r="C248" t="s">
        <v>43</v>
      </c>
      <c r="D248" t="s">
        <v>12</v>
      </c>
      <c r="E248" s="2" t="s">
        <v>729</v>
      </c>
      <c r="F248">
        <v>17</v>
      </c>
      <c r="G248" t="s">
        <v>20</v>
      </c>
      <c r="H248" s="2" t="s">
        <v>729</v>
      </c>
      <c r="I248">
        <v>3</v>
      </c>
      <c r="J248" t="str">
        <f>IF(Table1[[#This Row],[Resolution_Date]]="NA","Unresolved","Resolved")</f>
        <v>Resolved</v>
      </c>
      <c r="K248">
        <f>IF(Table1[[#This Row],[Resolution_Date]]="NA"," ",Table1[[#This Row],[Resolution_Date]]-Table1[[#This Row],[Complaint_Date]])</f>
        <v>0</v>
      </c>
      <c r="L248" t="str">
        <f>TEXT(Table1[[#This Row],[Complaint_Date]],"MMM")</f>
        <v>Oct</v>
      </c>
      <c r="M248" t="str">
        <f>IF(Table1[[#This Row],[Resolution_Time_Hours]]&lt;=24,"Fast",IF(Table1[[#This Row],[Resolution_Time_Hours]]&lt;=72,"Medium","Slow"))</f>
        <v>Fast</v>
      </c>
    </row>
    <row r="249" spans="1:13" x14ac:dyDescent="0.3">
      <c r="A249" t="s">
        <v>730</v>
      </c>
      <c r="B249" t="s">
        <v>731</v>
      </c>
      <c r="C249" t="s">
        <v>34</v>
      </c>
      <c r="D249" t="s">
        <v>27</v>
      </c>
      <c r="E249" s="2" t="s">
        <v>293</v>
      </c>
      <c r="F249">
        <v>93</v>
      </c>
      <c r="G249" t="s">
        <v>20</v>
      </c>
      <c r="H249" s="2" t="s">
        <v>13</v>
      </c>
      <c r="I249">
        <v>1</v>
      </c>
      <c r="J249" t="str">
        <f>IF(Table1[[#This Row],[Resolution_Date]]="NA","Unresolved","Resolved")</f>
        <v>Resolved</v>
      </c>
      <c r="K249">
        <f>IF(Table1[[#This Row],[Resolution_Date]]="NA"," ",Table1[[#This Row],[Resolution_Date]]-Table1[[#This Row],[Complaint_Date]])</f>
        <v>3</v>
      </c>
      <c r="L249" t="str">
        <f>TEXT(Table1[[#This Row],[Complaint_Date]],"MMM")</f>
        <v>Oct</v>
      </c>
      <c r="M249" t="str">
        <f>IF(Table1[[#This Row],[Resolution_Time_Hours]]&lt;=24,"Fast",IF(Table1[[#This Row],[Resolution_Time_Hours]]&lt;=72,"Medium","Slow"))</f>
        <v>Slow</v>
      </c>
    </row>
    <row r="250" spans="1:13" x14ac:dyDescent="0.3">
      <c r="A250" t="s">
        <v>732</v>
      </c>
      <c r="B250" t="s">
        <v>733</v>
      </c>
      <c r="C250" t="s">
        <v>48</v>
      </c>
      <c r="D250" t="s">
        <v>18</v>
      </c>
      <c r="E250" s="2" t="s">
        <v>577</v>
      </c>
      <c r="F250">
        <v>71</v>
      </c>
      <c r="G250" t="s">
        <v>20</v>
      </c>
      <c r="H250" s="2" t="s">
        <v>146</v>
      </c>
      <c r="I250">
        <v>5</v>
      </c>
      <c r="J250" t="str">
        <f>IF(Table1[[#This Row],[Resolution_Date]]="NA","Unresolved","Resolved")</f>
        <v>Resolved</v>
      </c>
      <c r="K250">
        <f>IF(Table1[[#This Row],[Resolution_Date]]="NA"," ",Table1[[#This Row],[Resolution_Date]]-Table1[[#This Row],[Complaint_Date]])</f>
        <v>2</v>
      </c>
      <c r="L250" t="str">
        <f>TEXT(Table1[[#This Row],[Complaint_Date]],"MMM")</f>
        <v>Aug</v>
      </c>
      <c r="M250" t="str">
        <f>IF(Table1[[#This Row],[Resolution_Time_Hours]]&lt;=24,"Fast",IF(Table1[[#This Row],[Resolution_Time_Hours]]&lt;=72,"Medium","Slow"))</f>
        <v>Medium</v>
      </c>
    </row>
    <row r="251" spans="1:13" x14ac:dyDescent="0.3">
      <c r="A251" t="s">
        <v>734</v>
      </c>
      <c r="B251" t="s">
        <v>735</v>
      </c>
      <c r="C251" t="s">
        <v>70</v>
      </c>
      <c r="D251" t="s">
        <v>27</v>
      </c>
      <c r="E251" s="2" t="s">
        <v>39</v>
      </c>
      <c r="F251">
        <v>21</v>
      </c>
      <c r="G251" t="s">
        <v>20</v>
      </c>
      <c r="H251" s="2" t="s">
        <v>39</v>
      </c>
      <c r="I251">
        <v>5</v>
      </c>
      <c r="J251" t="str">
        <f>IF(Table1[[#This Row],[Resolution_Date]]="NA","Unresolved","Resolved")</f>
        <v>Resolved</v>
      </c>
      <c r="K251">
        <f>IF(Table1[[#This Row],[Resolution_Date]]="NA"," ",Table1[[#This Row],[Resolution_Date]]-Table1[[#This Row],[Complaint_Date]])</f>
        <v>0</v>
      </c>
      <c r="L251" t="str">
        <f>TEXT(Table1[[#This Row],[Complaint_Date]],"MMM")</f>
        <v>Jun</v>
      </c>
      <c r="M251" t="str">
        <f>IF(Table1[[#This Row],[Resolution_Time_Hours]]&lt;=24,"Fast",IF(Table1[[#This Row],[Resolution_Time_Hours]]&lt;=72,"Medium","Slow"))</f>
        <v>Fast</v>
      </c>
    </row>
    <row r="252" spans="1:13" x14ac:dyDescent="0.3">
      <c r="A252" t="s">
        <v>736</v>
      </c>
      <c r="B252" t="s">
        <v>737</v>
      </c>
      <c r="C252" t="s">
        <v>70</v>
      </c>
      <c r="D252" t="s">
        <v>18</v>
      </c>
      <c r="E252" s="2" t="s">
        <v>738</v>
      </c>
      <c r="F252">
        <v>3</v>
      </c>
      <c r="G252" t="s">
        <v>20</v>
      </c>
      <c r="H252" s="2" t="s">
        <v>738</v>
      </c>
      <c r="I252">
        <v>5</v>
      </c>
      <c r="J252" t="str">
        <f>IF(Table1[[#This Row],[Resolution_Date]]="NA","Unresolved","Resolved")</f>
        <v>Resolved</v>
      </c>
      <c r="K252">
        <f>IF(Table1[[#This Row],[Resolution_Date]]="NA"," ",Table1[[#This Row],[Resolution_Date]]-Table1[[#This Row],[Complaint_Date]])</f>
        <v>0</v>
      </c>
      <c r="L252" t="str">
        <f>TEXT(Table1[[#This Row],[Complaint_Date]],"MMM")</f>
        <v>Feb</v>
      </c>
      <c r="M252" t="str">
        <f>IF(Table1[[#This Row],[Resolution_Time_Hours]]&lt;=24,"Fast",IF(Table1[[#This Row],[Resolution_Time_Hours]]&lt;=72,"Medium","Slow"))</f>
        <v>Fast</v>
      </c>
    </row>
    <row r="253" spans="1:13" x14ac:dyDescent="0.3">
      <c r="A253" t="s">
        <v>739</v>
      </c>
      <c r="B253" t="s">
        <v>740</v>
      </c>
      <c r="C253" t="s">
        <v>34</v>
      </c>
      <c r="D253" t="s">
        <v>38</v>
      </c>
      <c r="E253" s="2" t="s">
        <v>729</v>
      </c>
      <c r="F253">
        <v>56</v>
      </c>
      <c r="G253" t="s">
        <v>20</v>
      </c>
      <c r="H253" s="2" t="s">
        <v>336</v>
      </c>
      <c r="I253">
        <v>1</v>
      </c>
      <c r="J253" t="str">
        <f>IF(Table1[[#This Row],[Resolution_Date]]="NA","Unresolved","Resolved")</f>
        <v>Resolved</v>
      </c>
      <c r="K253">
        <f>IF(Table1[[#This Row],[Resolution_Date]]="NA"," ",Table1[[#This Row],[Resolution_Date]]-Table1[[#This Row],[Complaint_Date]])</f>
        <v>2</v>
      </c>
      <c r="L253" t="str">
        <f>TEXT(Table1[[#This Row],[Complaint_Date]],"MMM")</f>
        <v>Oct</v>
      </c>
      <c r="M253" t="str">
        <f>IF(Table1[[#This Row],[Resolution_Time_Hours]]&lt;=24,"Fast",IF(Table1[[#This Row],[Resolution_Time_Hours]]&lt;=72,"Medium","Slow"))</f>
        <v>Medium</v>
      </c>
    </row>
    <row r="254" spans="1:13" x14ac:dyDescent="0.3">
      <c r="A254" t="s">
        <v>741</v>
      </c>
      <c r="B254" t="s">
        <v>742</v>
      </c>
      <c r="C254" t="s">
        <v>11</v>
      </c>
      <c r="D254" t="s">
        <v>27</v>
      </c>
      <c r="E254" s="2" t="s">
        <v>376</v>
      </c>
      <c r="F254">
        <v>26</v>
      </c>
      <c r="G254" t="s">
        <v>20</v>
      </c>
      <c r="H254" s="2" t="s">
        <v>666</v>
      </c>
      <c r="I254">
        <v>2</v>
      </c>
      <c r="J254" t="str">
        <f>IF(Table1[[#This Row],[Resolution_Date]]="NA","Unresolved","Resolved")</f>
        <v>Resolved</v>
      </c>
      <c r="K254">
        <f>IF(Table1[[#This Row],[Resolution_Date]]="NA"," ",Table1[[#This Row],[Resolution_Date]]-Table1[[#This Row],[Complaint_Date]])</f>
        <v>1</v>
      </c>
      <c r="L254" t="str">
        <f>TEXT(Table1[[#This Row],[Complaint_Date]],"MMM")</f>
        <v>Jul</v>
      </c>
      <c r="M254" t="str">
        <f>IF(Table1[[#This Row],[Resolution_Time_Hours]]&lt;=24,"Fast",IF(Table1[[#This Row],[Resolution_Time_Hours]]&lt;=72,"Medium","Slow"))</f>
        <v>Medium</v>
      </c>
    </row>
    <row r="255" spans="1:13" x14ac:dyDescent="0.3">
      <c r="A255" t="s">
        <v>743</v>
      </c>
      <c r="B255" t="s">
        <v>744</v>
      </c>
      <c r="C255" t="s">
        <v>17</v>
      </c>
      <c r="D255" t="s">
        <v>95</v>
      </c>
      <c r="E255" s="2" t="s">
        <v>233</v>
      </c>
      <c r="F255">
        <v>8</v>
      </c>
      <c r="G255" t="s">
        <v>14</v>
      </c>
      <c r="H255" s="2" t="s">
        <v>2820</v>
      </c>
      <c r="J255" t="str">
        <f>IF(Table1[[#This Row],[Resolution_Date]]="NA","Unresolved","Resolved")</f>
        <v>Unresolved</v>
      </c>
      <c r="K255" t="str">
        <f>IF(Table1[[#This Row],[Resolution_Date]]="NA"," ",Table1[[#This Row],[Resolution_Date]]-Table1[[#This Row],[Complaint_Date]])</f>
        <v xml:space="preserve"> </v>
      </c>
      <c r="L255" t="str">
        <f>TEXT(Table1[[#This Row],[Complaint_Date]],"MMM")</f>
        <v>Apr</v>
      </c>
      <c r="M255" t="str">
        <f>IF(Table1[[#This Row],[Resolution_Time_Hours]]&lt;=24,"Fast",IF(Table1[[#This Row],[Resolution_Time_Hours]]&lt;=72,"Medium","Slow"))</f>
        <v>Fast</v>
      </c>
    </row>
    <row r="256" spans="1:13" x14ac:dyDescent="0.3">
      <c r="A256" t="s">
        <v>745</v>
      </c>
      <c r="B256" t="s">
        <v>746</v>
      </c>
      <c r="C256" t="s">
        <v>11</v>
      </c>
      <c r="D256" t="s">
        <v>12</v>
      </c>
      <c r="E256" s="2" t="s">
        <v>747</v>
      </c>
      <c r="F256">
        <v>10</v>
      </c>
      <c r="G256" t="s">
        <v>40</v>
      </c>
      <c r="H256" s="2" t="s">
        <v>2820</v>
      </c>
      <c r="J256" t="str">
        <f>IF(Table1[[#This Row],[Resolution_Date]]="NA","Unresolved","Resolved")</f>
        <v>Unresolved</v>
      </c>
      <c r="K256" t="str">
        <f>IF(Table1[[#This Row],[Resolution_Date]]="NA"," ",Table1[[#This Row],[Resolution_Date]]-Table1[[#This Row],[Complaint_Date]])</f>
        <v xml:space="preserve"> </v>
      </c>
      <c r="L256" t="str">
        <f>TEXT(Table1[[#This Row],[Complaint_Date]],"MMM")</f>
        <v>Aug</v>
      </c>
      <c r="M256" t="str">
        <f>IF(Table1[[#This Row],[Resolution_Time_Hours]]&lt;=24,"Fast",IF(Table1[[#This Row],[Resolution_Time_Hours]]&lt;=72,"Medium","Slow"))</f>
        <v>Fast</v>
      </c>
    </row>
    <row r="257" spans="1:13" x14ac:dyDescent="0.3">
      <c r="A257" t="s">
        <v>748</v>
      </c>
      <c r="B257" t="s">
        <v>749</v>
      </c>
      <c r="C257" t="s">
        <v>11</v>
      </c>
      <c r="D257" t="s">
        <v>27</v>
      </c>
      <c r="E257" s="2" t="s">
        <v>750</v>
      </c>
      <c r="F257">
        <v>16</v>
      </c>
      <c r="G257" t="s">
        <v>20</v>
      </c>
      <c r="H257" s="2" t="s">
        <v>750</v>
      </c>
      <c r="I257">
        <v>3</v>
      </c>
      <c r="J257" t="str">
        <f>IF(Table1[[#This Row],[Resolution_Date]]="NA","Unresolved","Resolved")</f>
        <v>Resolved</v>
      </c>
      <c r="K257">
        <f>IF(Table1[[#This Row],[Resolution_Date]]="NA"," ",Table1[[#This Row],[Resolution_Date]]-Table1[[#This Row],[Complaint_Date]])</f>
        <v>0</v>
      </c>
      <c r="L257" t="str">
        <f>TEXT(Table1[[#This Row],[Complaint_Date]],"MMM")</f>
        <v>Mar</v>
      </c>
      <c r="M257" t="str">
        <f>IF(Table1[[#This Row],[Resolution_Time_Hours]]&lt;=24,"Fast",IF(Table1[[#This Row],[Resolution_Time_Hours]]&lt;=72,"Medium","Slow"))</f>
        <v>Fast</v>
      </c>
    </row>
    <row r="258" spans="1:13" x14ac:dyDescent="0.3">
      <c r="A258" t="s">
        <v>751</v>
      </c>
      <c r="B258" t="s">
        <v>752</v>
      </c>
      <c r="C258" t="s">
        <v>70</v>
      </c>
      <c r="D258" t="s">
        <v>18</v>
      </c>
      <c r="E258" s="2" t="s">
        <v>753</v>
      </c>
      <c r="F258">
        <v>15</v>
      </c>
      <c r="G258" t="s">
        <v>20</v>
      </c>
      <c r="H258" s="2" t="s">
        <v>753</v>
      </c>
      <c r="I258">
        <v>3</v>
      </c>
      <c r="J258" t="str">
        <f>IF(Table1[[#This Row],[Resolution_Date]]="NA","Unresolved","Resolved")</f>
        <v>Resolved</v>
      </c>
      <c r="K258">
        <f>IF(Table1[[#This Row],[Resolution_Date]]="NA"," ",Table1[[#This Row],[Resolution_Date]]-Table1[[#This Row],[Complaint_Date]])</f>
        <v>0</v>
      </c>
      <c r="L258" t="str">
        <f>TEXT(Table1[[#This Row],[Complaint_Date]],"MMM")</f>
        <v>Feb</v>
      </c>
      <c r="M258" t="str">
        <f>IF(Table1[[#This Row],[Resolution_Time_Hours]]&lt;=24,"Fast",IF(Table1[[#This Row],[Resolution_Time_Hours]]&lt;=72,"Medium","Slow"))</f>
        <v>Fast</v>
      </c>
    </row>
    <row r="259" spans="1:13" x14ac:dyDescent="0.3">
      <c r="A259" t="s">
        <v>754</v>
      </c>
      <c r="B259" t="s">
        <v>755</v>
      </c>
      <c r="C259" t="s">
        <v>17</v>
      </c>
      <c r="D259" t="s">
        <v>38</v>
      </c>
      <c r="E259" s="2" t="s">
        <v>220</v>
      </c>
      <c r="F259">
        <v>34</v>
      </c>
      <c r="G259" t="s">
        <v>20</v>
      </c>
      <c r="H259" s="2" t="s">
        <v>756</v>
      </c>
      <c r="I259">
        <v>2</v>
      </c>
      <c r="J259" t="str">
        <f>IF(Table1[[#This Row],[Resolution_Date]]="NA","Unresolved","Resolved")</f>
        <v>Resolved</v>
      </c>
      <c r="K259">
        <f>IF(Table1[[#This Row],[Resolution_Date]]="NA"," ",Table1[[#This Row],[Resolution_Date]]-Table1[[#This Row],[Complaint_Date]])</f>
        <v>1</v>
      </c>
      <c r="L259" t="str">
        <f>TEXT(Table1[[#This Row],[Complaint_Date]],"MMM")</f>
        <v>Jul</v>
      </c>
      <c r="M259" t="str">
        <f>IF(Table1[[#This Row],[Resolution_Time_Hours]]&lt;=24,"Fast",IF(Table1[[#This Row],[Resolution_Time_Hours]]&lt;=72,"Medium","Slow"))</f>
        <v>Medium</v>
      </c>
    </row>
    <row r="260" spans="1:13" x14ac:dyDescent="0.3">
      <c r="A260" t="s">
        <v>757</v>
      </c>
      <c r="B260" t="s">
        <v>758</v>
      </c>
      <c r="C260" t="s">
        <v>43</v>
      </c>
      <c r="D260" t="s">
        <v>18</v>
      </c>
      <c r="E260" s="2" t="s">
        <v>658</v>
      </c>
      <c r="F260">
        <v>30</v>
      </c>
      <c r="G260" t="s">
        <v>40</v>
      </c>
      <c r="H260" s="2" t="s">
        <v>2820</v>
      </c>
      <c r="J260" t="str">
        <f>IF(Table1[[#This Row],[Resolution_Date]]="NA","Unresolved","Resolved")</f>
        <v>Unresolved</v>
      </c>
      <c r="K260" t="str">
        <f>IF(Table1[[#This Row],[Resolution_Date]]="NA"," ",Table1[[#This Row],[Resolution_Date]]-Table1[[#This Row],[Complaint_Date]])</f>
        <v xml:space="preserve"> </v>
      </c>
      <c r="L260" t="str">
        <f>TEXT(Table1[[#This Row],[Complaint_Date]],"MMM")</f>
        <v>Jul</v>
      </c>
      <c r="M260" t="str">
        <f>IF(Table1[[#This Row],[Resolution_Time_Hours]]&lt;=24,"Fast",IF(Table1[[#This Row],[Resolution_Time_Hours]]&lt;=72,"Medium","Slow"))</f>
        <v>Medium</v>
      </c>
    </row>
    <row r="261" spans="1:13" x14ac:dyDescent="0.3">
      <c r="A261" t="s">
        <v>759</v>
      </c>
      <c r="B261" t="s">
        <v>760</v>
      </c>
      <c r="C261" t="s">
        <v>17</v>
      </c>
      <c r="D261" t="s">
        <v>27</v>
      </c>
      <c r="E261" s="2" t="s">
        <v>608</v>
      </c>
      <c r="F261">
        <v>10</v>
      </c>
      <c r="G261" t="s">
        <v>20</v>
      </c>
      <c r="H261" s="2" t="s">
        <v>608</v>
      </c>
      <c r="I261">
        <v>4</v>
      </c>
      <c r="J261" t="str">
        <f>IF(Table1[[#This Row],[Resolution_Date]]="NA","Unresolved","Resolved")</f>
        <v>Resolved</v>
      </c>
      <c r="K261">
        <f>IF(Table1[[#This Row],[Resolution_Date]]="NA"," ",Table1[[#This Row],[Resolution_Date]]-Table1[[#This Row],[Complaint_Date]])</f>
        <v>0</v>
      </c>
      <c r="L261" t="str">
        <f>TEXT(Table1[[#This Row],[Complaint_Date]],"MMM")</f>
        <v>Aug</v>
      </c>
      <c r="M261" t="str">
        <f>IF(Table1[[#This Row],[Resolution_Time_Hours]]&lt;=24,"Fast",IF(Table1[[#This Row],[Resolution_Time_Hours]]&lt;=72,"Medium","Slow"))</f>
        <v>Fast</v>
      </c>
    </row>
    <row r="262" spans="1:13" x14ac:dyDescent="0.3">
      <c r="A262" t="s">
        <v>761</v>
      </c>
      <c r="B262" t="s">
        <v>762</v>
      </c>
      <c r="C262" t="s">
        <v>43</v>
      </c>
      <c r="D262" t="s">
        <v>18</v>
      </c>
      <c r="E262" s="2" t="s">
        <v>763</v>
      </c>
      <c r="F262">
        <v>20</v>
      </c>
      <c r="G262" t="s">
        <v>20</v>
      </c>
      <c r="H262" s="2" t="s">
        <v>763</v>
      </c>
      <c r="I262">
        <v>3</v>
      </c>
      <c r="J262" t="str">
        <f>IF(Table1[[#This Row],[Resolution_Date]]="NA","Unresolved","Resolved")</f>
        <v>Resolved</v>
      </c>
      <c r="K262">
        <f>IF(Table1[[#This Row],[Resolution_Date]]="NA"," ",Table1[[#This Row],[Resolution_Date]]-Table1[[#This Row],[Complaint_Date]])</f>
        <v>0</v>
      </c>
      <c r="L262" t="str">
        <f>TEXT(Table1[[#This Row],[Complaint_Date]],"MMM")</f>
        <v>Sep</v>
      </c>
      <c r="M262" t="str">
        <f>IF(Table1[[#This Row],[Resolution_Time_Hours]]&lt;=24,"Fast",IF(Table1[[#This Row],[Resolution_Time_Hours]]&lt;=72,"Medium","Slow"))</f>
        <v>Fast</v>
      </c>
    </row>
    <row r="263" spans="1:13" x14ac:dyDescent="0.3">
      <c r="A263" t="s">
        <v>764</v>
      </c>
      <c r="B263" t="s">
        <v>765</v>
      </c>
      <c r="C263" t="s">
        <v>17</v>
      </c>
      <c r="D263" t="s">
        <v>27</v>
      </c>
      <c r="E263" s="2" t="s">
        <v>766</v>
      </c>
      <c r="F263">
        <v>27</v>
      </c>
      <c r="G263" t="s">
        <v>20</v>
      </c>
      <c r="H263" s="2" t="s">
        <v>767</v>
      </c>
      <c r="I263">
        <v>2</v>
      </c>
      <c r="J263" t="str">
        <f>IF(Table1[[#This Row],[Resolution_Date]]="NA","Unresolved","Resolved")</f>
        <v>Resolved</v>
      </c>
      <c r="K263">
        <f>IF(Table1[[#This Row],[Resolution_Date]]="NA"," ",Table1[[#This Row],[Resolution_Date]]-Table1[[#This Row],[Complaint_Date]])</f>
        <v>1</v>
      </c>
      <c r="L263" t="str">
        <f>TEXT(Table1[[#This Row],[Complaint_Date]],"MMM")</f>
        <v>Oct</v>
      </c>
      <c r="M263" t="str">
        <f>IF(Table1[[#This Row],[Resolution_Time_Hours]]&lt;=24,"Fast",IF(Table1[[#This Row],[Resolution_Time_Hours]]&lt;=72,"Medium","Slow"))</f>
        <v>Medium</v>
      </c>
    </row>
    <row r="264" spans="1:13" x14ac:dyDescent="0.3">
      <c r="A264" t="s">
        <v>768</v>
      </c>
      <c r="B264" t="s">
        <v>769</v>
      </c>
      <c r="C264" t="s">
        <v>17</v>
      </c>
      <c r="D264" t="s">
        <v>95</v>
      </c>
      <c r="E264" s="2" t="s">
        <v>770</v>
      </c>
      <c r="F264">
        <v>12</v>
      </c>
      <c r="G264" t="s">
        <v>20</v>
      </c>
      <c r="H264" s="2" t="s">
        <v>770</v>
      </c>
      <c r="I264">
        <v>4</v>
      </c>
      <c r="J264" t="str">
        <f>IF(Table1[[#This Row],[Resolution_Date]]="NA","Unresolved","Resolved")</f>
        <v>Resolved</v>
      </c>
      <c r="K264">
        <f>IF(Table1[[#This Row],[Resolution_Date]]="NA"," ",Table1[[#This Row],[Resolution_Date]]-Table1[[#This Row],[Complaint_Date]])</f>
        <v>0</v>
      </c>
      <c r="L264" t="str">
        <f>TEXT(Table1[[#This Row],[Complaint_Date]],"MMM")</f>
        <v>Jan</v>
      </c>
      <c r="M264" t="str">
        <f>IF(Table1[[#This Row],[Resolution_Time_Hours]]&lt;=24,"Fast",IF(Table1[[#This Row],[Resolution_Time_Hours]]&lt;=72,"Medium","Slow"))</f>
        <v>Fast</v>
      </c>
    </row>
    <row r="265" spans="1:13" x14ac:dyDescent="0.3">
      <c r="A265" t="s">
        <v>771</v>
      </c>
      <c r="B265" t="s">
        <v>772</v>
      </c>
      <c r="C265" t="s">
        <v>48</v>
      </c>
      <c r="D265" t="s">
        <v>12</v>
      </c>
      <c r="E265" s="2" t="s">
        <v>532</v>
      </c>
      <c r="F265">
        <v>51</v>
      </c>
      <c r="G265" t="s">
        <v>14</v>
      </c>
      <c r="H265" s="2" t="s">
        <v>2820</v>
      </c>
      <c r="J265" t="str">
        <f>IF(Table1[[#This Row],[Resolution_Date]]="NA","Unresolved","Resolved")</f>
        <v>Unresolved</v>
      </c>
      <c r="K265" t="str">
        <f>IF(Table1[[#This Row],[Resolution_Date]]="NA"," ",Table1[[#This Row],[Resolution_Date]]-Table1[[#This Row],[Complaint_Date]])</f>
        <v xml:space="preserve"> </v>
      </c>
      <c r="L265" t="str">
        <f>TEXT(Table1[[#This Row],[Complaint_Date]],"MMM")</f>
        <v>Jun</v>
      </c>
      <c r="M265" t="str">
        <f>IF(Table1[[#This Row],[Resolution_Time_Hours]]&lt;=24,"Fast",IF(Table1[[#This Row],[Resolution_Time_Hours]]&lt;=72,"Medium","Slow"))</f>
        <v>Medium</v>
      </c>
    </row>
    <row r="266" spans="1:13" x14ac:dyDescent="0.3">
      <c r="A266" t="s">
        <v>773</v>
      </c>
      <c r="B266" t="s">
        <v>774</v>
      </c>
      <c r="C266" t="s">
        <v>17</v>
      </c>
      <c r="D266" t="s">
        <v>38</v>
      </c>
      <c r="E266" s="2" t="s">
        <v>220</v>
      </c>
      <c r="F266">
        <v>5</v>
      </c>
      <c r="G266" t="s">
        <v>14</v>
      </c>
      <c r="H266" s="2" t="s">
        <v>2820</v>
      </c>
      <c r="J266" t="str">
        <f>IF(Table1[[#This Row],[Resolution_Date]]="NA","Unresolved","Resolved")</f>
        <v>Unresolved</v>
      </c>
      <c r="K266" t="str">
        <f>IF(Table1[[#This Row],[Resolution_Date]]="NA"," ",Table1[[#This Row],[Resolution_Date]]-Table1[[#This Row],[Complaint_Date]])</f>
        <v xml:space="preserve"> </v>
      </c>
      <c r="L266" t="str">
        <f>TEXT(Table1[[#This Row],[Complaint_Date]],"MMM")</f>
        <v>Jul</v>
      </c>
      <c r="M266" t="str">
        <f>IF(Table1[[#This Row],[Resolution_Time_Hours]]&lt;=24,"Fast",IF(Table1[[#This Row],[Resolution_Time_Hours]]&lt;=72,"Medium","Slow"))</f>
        <v>Fast</v>
      </c>
    </row>
    <row r="267" spans="1:13" x14ac:dyDescent="0.3">
      <c r="A267" t="s">
        <v>775</v>
      </c>
      <c r="B267" t="s">
        <v>776</v>
      </c>
      <c r="C267" t="s">
        <v>53</v>
      </c>
      <c r="D267" t="s">
        <v>38</v>
      </c>
      <c r="E267" s="2" t="s">
        <v>777</v>
      </c>
      <c r="F267">
        <v>10</v>
      </c>
      <c r="G267" t="s">
        <v>14</v>
      </c>
      <c r="H267" s="2" t="s">
        <v>2820</v>
      </c>
      <c r="J267" t="str">
        <f>IF(Table1[[#This Row],[Resolution_Date]]="NA","Unresolved","Resolved")</f>
        <v>Unresolved</v>
      </c>
      <c r="K267" t="str">
        <f>IF(Table1[[#This Row],[Resolution_Date]]="NA"," ",Table1[[#This Row],[Resolution_Date]]-Table1[[#This Row],[Complaint_Date]])</f>
        <v xml:space="preserve"> </v>
      </c>
      <c r="L267" t="str">
        <f>TEXT(Table1[[#This Row],[Complaint_Date]],"MMM")</f>
        <v>Apr</v>
      </c>
      <c r="M267" t="str">
        <f>IF(Table1[[#This Row],[Resolution_Time_Hours]]&lt;=24,"Fast",IF(Table1[[#This Row],[Resolution_Time_Hours]]&lt;=72,"Medium","Slow"))</f>
        <v>Fast</v>
      </c>
    </row>
    <row r="268" spans="1:13" x14ac:dyDescent="0.3">
      <c r="A268" t="s">
        <v>778</v>
      </c>
      <c r="B268" t="s">
        <v>779</v>
      </c>
      <c r="C268" t="s">
        <v>70</v>
      </c>
      <c r="D268" t="s">
        <v>18</v>
      </c>
      <c r="E268" s="2" t="s">
        <v>657</v>
      </c>
      <c r="F268">
        <v>18</v>
      </c>
      <c r="G268" t="s">
        <v>20</v>
      </c>
      <c r="H268" s="2" t="s">
        <v>657</v>
      </c>
      <c r="I268">
        <v>3</v>
      </c>
      <c r="J268" t="str">
        <f>IF(Table1[[#This Row],[Resolution_Date]]="NA","Unresolved","Resolved")</f>
        <v>Resolved</v>
      </c>
      <c r="K268">
        <f>IF(Table1[[#This Row],[Resolution_Date]]="NA"," ",Table1[[#This Row],[Resolution_Date]]-Table1[[#This Row],[Complaint_Date]])</f>
        <v>0</v>
      </c>
      <c r="L268" t="str">
        <f>TEXT(Table1[[#This Row],[Complaint_Date]],"MMM")</f>
        <v>Jul</v>
      </c>
      <c r="M268" t="str">
        <f>IF(Table1[[#This Row],[Resolution_Time_Hours]]&lt;=24,"Fast",IF(Table1[[#This Row],[Resolution_Time_Hours]]&lt;=72,"Medium","Slow"))</f>
        <v>Fast</v>
      </c>
    </row>
    <row r="269" spans="1:13" x14ac:dyDescent="0.3">
      <c r="A269" t="s">
        <v>780</v>
      </c>
      <c r="B269" t="s">
        <v>781</v>
      </c>
      <c r="C269" t="s">
        <v>53</v>
      </c>
      <c r="D269" t="s">
        <v>18</v>
      </c>
      <c r="E269" s="2" t="s">
        <v>782</v>
      </c>
      <c r="F269">
        <v>12</v>
      </c>
      <c r="G269" t="s">
        <v>40</v>
      </c>
      <c r="H269" s="2" t="s">
        <v>2820</v>
      </c>
      <c r="J269" t="str">
        <f>IF(Table1[[#This Row],[Resolution_Date]]="NA","Unresolved","Resolved")</f>
        <v>Unresolved</v>
      </c>
      <c r="K269" t="str">
        <f>IF(Table1[[#This Row],[Resolution_Date]]="NA"," ",Table1[[#This Row],[Resolution_Date]]-Table1[[#This Row],[Complaint_Date]])</f>
        <v xml:space="preserve"> </v>
      </c>
      <c r="L269" t="str">
        <f>TEXT(Table1[[#This Row],[Complaint_Date]],"MMM")</f>
        <v>May</v>
      </c>
      <c r="M269" t="str">
        <f>IF(Table1[[#This Row],[Resolution_Time_Hours]]&lt;=24,"Fast",IF(Table1[[#This Row],[Resolution_Time_Hours]]&lt;=72,"Medium","Slow"))</f>
        <v>Fast</v>
      </c>
    </row>
    <row r="270" spans="1:13" x14ac:dyDescent="0.3">
      <c r="A270" t="s">
        <v>783</v>
      </c>
      <c r="B270" t="s">
        <v>784</v>
      </c>
      <c r="C270" t="s">
        <v>34</v>
      </c>
      <c r="D270" t="s">
        <v>95</v>
      </c>
      <c r="E270" s="2" t="s">
        <v>785</v>
      </c>
      <c r="F270">
        <v>58</v>
      </c>
      <c r="G270" t="s">
        <v>14</v>
      </c>
      <c r="H270" s="2" t="s">
        <v>2820</v>
      </c>
      <c r="J270" t="str">
        <f>IF(Table1[[#This Row],[Resolution_Date]]="NA","Unresolved","Resolved")</f>
        <v>Unresolved</v>
      </c>
      <c r="K270" t="str">
        <f>IF(Table1[[#This Row],[Resolution_Date]]="NA"," ",Table1[[#This Row],[Resolution_Date]]-Table1[[#This Row],[Complaint_Date]])</f>
        <v xml:space="preserve"> </v>
      </c>
      <c r="L270" t="str">
        <f>TEXT(Table1[[#This Row],[Complaint_Date]],"MMM")</f>
        <v>Nov</v>
      </c>
      <c r="M270" t="str">
        <f>IF(Table1[[#This Row],[Resolution_Time_Hours]]&lt;=24,"Fast",IF(Table1[[#This Row],[Resolution_Time_Hours]]&lt;=72,"Medium","Slow"))</f>
        <v>Medium</v>
      </c>
    </row>
    <row r="271" spans="1:13" x14ac:dyDescent="0.3">
      <c r="A271" t="s">
        <v>786</v>
      </c>
      <c r="B271" t="s">
        <v>787</v>
      </c>
      <c r="C271" t="s">
        <v>70</v>
      </c>
      <c r="D271" t="s">
        <v>38</v>
      </c>
      <c r="E271" s="2" t="s">
        <v>788</v>
      </c>
      <c r="F271">
        <v>10</v>
      </c>
      <c r="G271" t="s">
        <v>20</v>
      </c>
      <c r="H271" s="2" t="s">
        <v>788</v>
      </c>
      <c r="I271">
        <v>4</v>
      </c>
      <c r="J271" t="str">
        <f>IF(Table1[[#This Row],[Resolution_Date]]="NA","Unresolved","Resolved")</f>
        <v>Resolved</v>
      </c>
      <c r="K271">
        <f>IF(Table1[[#This Row],[Resolution_Date]]="NA"," ",Table1[[#This Row],[Resolution_Date]]-Table1[[#This Row],[Complaint_Date]])</f>
        <v>0</v>
      </c>
      <c r="L271" t="str">
        <f>TEXT(Table1[[#This Row],[Complaint_Date]],"MMM")</f>
        <v>Jan</v>
      </c>
      <c r="M271" t="str">
        <f>IF(Table1[[#This Row],[Resolution_Time_Hours]]&lt;=24,"Fast",IF(Table1[[#This Row],[Resolution_Time_Hours]]&lt;=72,"Medium","Slow"))</f>
        <v>Fast</v>
      </c>
    </row>
    <row r="272" spans="1:13" x14ac:dyDescent="0.3">
      <c r="A272" t="s">
        <v>789</v>
      </c>
      <c r="B272" t="s">
        <v>790</v>
      </c>
      <c r="C272" t="s">
        <v>17</v>
      </c>
      <c r="D272" t="s">
        <v>38</v>
      </c>
      <c r="E272" s="2" t="s">
        <v>336</v>
      </c>
      <c r="F272">
        <v>12</v>
      </c>
      <c r="G272" t="s">
        <v>20</v>
      </c>
      <c r="H272" s="2" t="s">
        <v>336</v>
      </c>
      <c r="I272">
        <v>4</v>
      </c>
      <c r="J272" t="str">
        <f>IF(Table1[[#This Row],[Resolution_Date]]="NA","Unresolved","Resolved")</f>
        <v>Resolved</v>
      </c>
      <c r="K272">
        <f>IF(Table1[[#This Row],[Resolution_Date]]="NA"," ",Table1[[#This Row],[Resolution_Date]]-Table1[[#This Row],[Complaint_Date]])</f>
        <v>0</v>
      </c>
      <c r="L272" t="str">
        <f>TEXT(Table1[[#This Row],[Complaint_Date]],"MMM")</f>
        <v>Oct</v>
      </c>
      <c r="M272" t="str">
        <f>IF(Table1[[#This Row],[Resolution_Time_Hours]]&lt;=24,"Fast",IF(Table1[[#This Row],[Resolution_Time_Hours]]&lt;=72,"Medium","Slow"))</f>
        <v>Fast</v>
      </c>
    </row>
    <row r="273" spans="1:13" x14ac:dyDescent="0.3">
      <c r="A273" t="s">
        <v>791</v>
      </c>
      <c r="B273" t="s">
        <v>792</v>
      </c>
      <c r="C273" t="s">
        <v>70</v>
      </c>
      <c r="D273" t="s">
        <v>18</v>
      </c>
      <c r="E273" s="2" t="s">
        <v>220</v>
      </c>
      <c r="F273">
        <v>21</v>
      </c>
      <c r="G273" t="s">
        <v>20</v>
      </c>
      <c r="H273" s="2" t="s">
        <v>220</v>
      </c>
      <c r="I273">
        <v>5</v>
      </c>
      <c r="J273" t="str">
        <f>IF(Table1[[#This Row],[Resolution_Date]]="NA","Unresolved","Resolved")</f>
        <v>Resolved</v>
      </c>
      <c r="K273">
        <f>IF(Table1[[#This Row],[Resolution_Date]]="NA"," ",Table1[[#This Row],[Resolution_Date]]-Table1[[#This Row],[Complaint_Date]])</f>
        <v>0</v>
      </c>
      <c r="L273" t="str">
        <f>TEXT(Table1[[#This Row],[Complaint_Date]],"MMM")</f>
        <v>Jul</v>
      </c>
      <c r="M273" t="str">
        <f>IF(Table1[[#This Row],[Resolution_Time_Hours]]&lt;=24,"Fast",IF(Table1[[#This Row],[Resolution_Time_Hours]]&lt;=72,"Medium","Slow"))</f>
        <v>Fast</v>
      </c>
    </row>
    <row r="274" spans="1:13" x14ac:dyDescent="0.3">
      <c r="A274" t="s">
        <v>793</v>
      </c>
      <c r="B274" t="s">
        <v>794</v>
      </c>
      <c r="C274" t="s">
        <v>110</v>
      </c>
      <c r="D274" t="s">
        <v>95</v>
      </c>
      <c r="E274" s="2" t="s">
        <v>223</v>
      </c>
      <c r="F274">
        <v>13</v>
      </c>
      <c r="G274" t="s">
        <v>20</v>
      </c>
      <c r="H274" s="2" t="s">
        <v>223</v>
      </c>
      <c r="I274">
        <v>3</v>
      </c>
      <c r="J274" t="str">
        <f>IF(Table1[[#This Row],[Resolution_Date]]="NA","Unresolved","Resolved")</f>
        <v>Resolved</v>
      </c>
      <c r="K274">
        <f>IF(Table1[[#This Row],[Resolution_Date]]="NA"," ",Table1[[#This Row],[Resolution_Date]]-Table1[[#This Row],[Complaint_Date]])</f>
        <v>0</v>
      </c>
      <c r="L274" t="str">
        <f>TEXT(Table1[[#This Row],[Complaint_Date]],"MMM")</f>
        <v>Dec</v>
      </c>
      <c r="M274" t="str">
        <f>IF(Table1[[#This Row],[Resolution_Time_Hours]]&lt;=24,"Fast",IF(Table1[[#This Row],[Resolution_Time_Hours]]&lt;=72,"Medium","Slow"))</f>
        <v>Fast</v>
      </c>
    </row>
    <row r="275" spans="1:13" x14ac:dyDescent="0.3">
      <c r="A275" t="s">
        <v>795</v>
      </c>
      <c r="B275" t="s">
        <v>796</v>
      </c>
      <c r="C275" t="s">
        <v>110</v>
      </c>
      <c r="D275" t="s">
        <v>95</v>
      </c>
      <c r="E275" s="2" t="s">
        <v>788</v>
      </c>
      <c r="F275">
        <v>15</v>
      </c>
      <c r="G275" t="s">
        <v>20</v>
      </c>
      <c r="H275" s="2" t="s">
        <v>788</v>
      </c>
      <c r="I275">
        <v>3</v>
      </c>
      <c r="J275" t="str">
        <f>IF(Table1[[#This Row],[Resolution_Date]]="NA","Unresolved","Resolved")</f>
        <v>Resolved</v>
      </c>
      <c r="K275">
        <f>IF(Table1[[#This Row],[Resolution_Date]]="NA"," ",Table1[[#This Row],[Resolution_Date]]-Table1[[#This Row],[Complaint_Date]])</f>
        <v>0</v>
      </c>
      <c r="L275" t="str">
        <f>TEXT(Table1[[#This Row],[Complaint_Date]],"MMM")</f>
        <v>Jan</v>
      </c>
      <c r="M275" t="str">
        <f>IF(Table1[[#This Row],[Resolution_Time_Hours]]&lt;=24,"Fast",IF(Table1[[#This Row],[Resolution_Time_Hours]]&lt;=72,"Medium","Slow"))</f>
        <v>Fast</v>
      </c>
    </row>
    <row r="276" spans="1:13" x14ac:dyDescent="0.3">
      <c r="A276" t="s">
        <v>797</v>
      </c>
      <c r="B276" t="s">
        <v>798</v>
      </c>
      <c r="C276" t="s">
        <v>11</v>
      </c>
      <c r="D276" t="s">
        <v>12</v>
      </c>
      <c r="E276" s="2" t="s">
        <v>370</v>
      </c>
      <c r="F276">
        <v>9</v>
      </c>
      <c r="G276" t="s">
        <v>20</v>
      </c>
      <c r="H276" s="2" t="s">
        <v>370</v>
      </c>
      <c r="I276">
        <v>4</v>
      </c>
      <c r="J276" t="str">
        <f>IF(Table1[[#This Row],[Resolution_Date]]="NA","Unresolved","Resolved")</f>
        <v>Resolved</v>
      </c>
      <c r="K276">
        <f>IF(Table1[[#This Row],[Resolution_Date]]="NA"," ",Table1[[#This Row],[Resolution_Date]]-Table1[[#This Row],[Complaint_Date]])</f>
        <v>0</v>
      </c>
      <c r="L276" t="str">
        <f>TEXT(Table1[[#This Row],[Complaint_Date]],"MMM")</f>
        <v>May</v>
      </c>
      <c r="M276" t="str">
        <f>IF(Table1[[#This Row],[Resolution_Time_Hours]]&lt;=24,"Fast",IF(Table1[[#This Row],[Resolution_Time_Hours]]&lt;=72,"Medium","Slow"))</f>
        <v>Fast</v>
      </c>
    </row>
    <row r="277" spans="1:13" x14ac:dyDescent="0.3">
      <c r="A277" t="s">
        <v>799</v>
      </c>
      <c r="B277" t="s">
        <v>800</v>
      </c>
      <c r="C277" t="s">
        <v>48</v>
      </c>
      <c r="D277" t="s">
        <v>38</v>
      </c>
      <c r="E277" s="2" t="s">
        <v>440</v>
      </c>
      <c r="F277">
        <v>26</v>
      </c>
      <c r="G277" t="s">
        <v>20</v>
      </c>
      <c r="H277" s="2" t="s">
        <v>441</v>
      </c>
      <c r="I277">
        <v>2</v>
      </c>
      <c r="J277" t="str">
        <f>IF(Table1[[#This Row],[Resolution_Date]]="NA","Unresolved","Resolved")</f>
        <v>Resolved</v>
      </c>
      <c r="K277">
        <f>IF(Table1[[#This Row],[Resolution_Date]]="NA"," ",Table1[[#This Row],[Resolution_Date]]-Table1[[#This Row],[Complaint_Date]])</f>
        <v>1</v>
      </c>
      <c r="L277" t="str">
        <f>TEXT(Table1[[#This Row],[Complaint_Date]],"MMM")</f>
        <v>Sep</v>
      </c>
      <c r="M277" t="str">
        <f>IF(Table1[[#This Row],[Resolution_Time_Hours]]&lt;=24,"Fast",IF(Table1[[#This Row],[Resolution_Time_Hours]]&lt;=72,"Medium","Slow"))</f>
        <v>Medium</v>
      </c>
    </row>
    <row r="278" spans="1:13" x14ac:dyDescent="0.3">
      <c r="A278" t="s">
        <v>801</v>
      </c>
      <c r="B278" t="s">
        <v>802</v>
      </c>
      <c r="C278" t="s">
        <v>110</v>
      </c>
      <c r="D278" t="s">
        <v>12</v>
      </c>
      <c r="E278" s="2" t="s">
        <v>803</v>
      </c>
      <c r="F278">
        <v>14</v>
      </c>
      <c r="G278" t="s">
        <v>40</v>
      </c>
      <c r="H278" s="2" t="s">
        <v>2820</v>
      </c>
      <c r="J278" t="str">
        <f>IF(Table1[[#This Row],[Resolution_Date]]="NA","Unresolved","Resolved")</f>
        <v>Unresolved</v>
      </c>
      <c r="K278" t="str">
        <f>IF(Table1[[#This Row],[Resolution_Date]]="NA"," ",Table1[[#This Row],[Resolution_Date]]-Table1[[#This Row],[Complaint_Date]])</f>
        <v xml:space="preserve"> </v>
      </c>
      <c r="L278" t="str">
        <f>TEXT(Table1[[#This Row],[Complaint_Date]],"MMM")</f>
        <v>May</v>
      </c>
      <c r="M278" t="str">
        <f>IF(Table1[[#This Row],[Resolution_Time_Hours]]&lt;=24,"Fast",IF(Table1[[#This Row],[Resolution_Time_Hours]]&lt;=72,"Medium","Slow"))</f>
        <v>Fast</v>
      </c>
    </row>
    <row r="279" spans="1:13" x14ac:dyDescent="0.3">
      <c r="A279" t="s">
        <v>804</v>
      </c>
      <c r="B279" t="s">
        <v>805</v>
      </c>
      <c r="C279" t="s">
        <v>17</v>
      </c>
      <c r="D279" t="s">
        <v>27</v>
      </c>
      <c r="E279" s="2" t="s">
        <v>806</v>
      </c>
      <c r="F279">
        <v>13</v>
      </c>
      <c r="G279" t="s">
        <v>14</v>
      </c>
      <c r="H279" s="2" t="s">
        <v>2820</v>
      </c>
      <c r="J279" t="str">
        <f>IF(Table1[[#This Row],[Resolution_Date]]="NA","Unresolved","Resolved")</f>
        <v>Unresolved</v>
      </c>
      <c r="K279" t="str">
        <f>IF(Table1[[#This Row],[Resolution_Date]]="NA"," ",Table1[[#This Row],[Resolution_Date]]-Table1[[#This Row],[Complaint_Date]])</f>
        <v xml:space="preserve"> </v>
      </c>
      <c r="L279" t="str">
        <f>TEXT(Table1[[#This Row],[Complaint_Date]],"MMM")</f>
        <v>Jul</v>
      </c>
      <c r="M279" t="str">
        <f>IF(Table1[[#This Row],[Resolution_Time_Hours]]&lt;=24,"Fast",IF(Table1[[#This Row],[Resolution_Time_Hours]]&lt;=72,"Medium","Slow"))</f>
        <v>Fast</v>
      </c>
    </row>
    <row r="280" spans="1:13" x14ac:dyDescent="0.3">
      <c r="A280" t="s">
        <v>807</v>
      </c>
      <c r="B280" t="s">
        <v>808</v>
      </c>
      <c r="C280" t="s">
        <v>48</v>
      </c>
      <c r="D280" t="s">
        <v>27</v>
      </c>
      <c r="E280" s="2" t="s">
        <v>809</v>
      </c>
      <c r="F280">
        <v>20</v>
      </c>
      <c r="G280" t="s">
        <v>20</v>
      </c>
      <c r="H280" s="2" t="s">
        <v>809</v>
      </c>
      <c r="I280">
        <v>3</v>
      </c>
      <c r="J280" t="str">
        <f>IF(Table1[[#This Row],[Resolution_Date]]="NA","Unresolved","Resolved")</f>
        <v>Resolved</v>
      </c>
      <c r="K280">
        <f>IF(Table1[[#This Row],[Resolution_Date]]="NA"," ",Table1[[#This Row],[Resolution_Date]]-Table1[[#This Row],[Complaint_Date]])</f>
        <v>0</v>
      </c>
      <c r="L280" t="str">
        <f>TEXT(Table1[[#This Row],[Complaint_Date]],"MMM")</f>
        <v>May</v>
      </c>
      <c r="M280" t="str">
        <f>IF(Table1[[#This Row],[Resolution_Time_Hours]]&lt;=24,"Fast",IF(Table1[[#This Row],[Resolution_Time_Hours]]&lt;=72,"Medium","Slow"))</f>
        <v>Fast</v>
      </c>
    </row>
    <row r="281" spans="1:13" x14ac:dyDescent="0.3">
      <c r="A281" t="s">
        <v>810</v>
      </c>
      <c r="B281" t="s">
        <v>811</v>
      </c>
      <c r="C281" t="s">
        <v>11</v>
      </c>
      <c r="D281" t="s">
        <v>27</v>
      </c>
      <c r="E281" s="2" t="s">
        <v>812</v>
      </c>
      <c r="F281">
        <v>44</v>
      </c>
      <c r="G281" t="s">
        <v>14</v>
      </c>
      <c r="H281" s="2" t="s">
        <v>2820</v>
      </c>
      <c r="J281" t="str">
        <f>IF(Table1[[#This Row],[Resolution_Date]]="NA","Unresolved","Resolved")</f>
        <v>Unresolved</v>
      </c>
      <c r="K281" t="str">
        <f>IF(Table1[[#This Row],[Resolution_Date]]="NA"," ",Table1[[#This Row],[Resolution_Date]]-Table1[[#This Row],[Complaint_Date]])</f>
        <v xml:space="preserve"> </v>
      </c>
      <c r="L281" t="str">
        <f>TEXT(Table1[[#This Row],[Complaint_Date]],"MMM")</f>
        <v>Feb</v>
      </c>
      <c r="M281" t="str">
        <f>IF(Table1[[#This Row],[Resolution_Time_Hours]]&lt;=24,"Fast",IF(Table1[[#This Row],[Resolution_Time_Hours]]&lt;=72,"Medium","Slow"))</f>
        <v>Medium</v>
      </c>
    </row>
    <row r="282" spans="1:13" x14ac:dyDescent="0.3">
      <c r="A282" t="s">
        <v>813</v>
      </c>
      <c r="B282" t="s">
        <v>814</v>
      </c>
      <c r="C282" t="s">
        <v>53</v>
      </c>
      <c r="D282" t="s">
        <v>12</v>
      </c>
      <c r="E282" s="2" t="s">
        <v>274</v>
      </c>
      <c r="F282">
        <v>11</v>
      </c>
      <c r="G282" t="s">
        <v>20</v>
      </c>
      <c r="H282" s="2" t="s">
        <v>274</v>
      </c>
      <c r="I282">
        <v>4</v>
      </c>
      <c r="J282" t="str">
        <f>IF(Table1[[#This Row],[Resolution_Date]]="NA","Unresolved","Resolved")</f>
        <v>Resolved</v>
      </c>
      <c r="K282">
        <f>IF(Table1[[#This Row],[Resolution_Date]]="NA"," ",Table1[[#This Row],[Resolution_Date]]-Table1[[#This Row],[Complaint_Date]])</f>
        <v>0</v>
      </c>
      <c r="L282" t="str">
        <f>TEXT(Table1[[#This Row],[Complaint_Date]],"MMM")</f>
        <v>Nov</v>
      </c>
      <c r="M282" t="str">
        <f>IF(Table1[[#This Row],[Resolution_Time_Hours]]&lt;=24,"Fast",IF(Table1[[#This Row],[Resolution_Time_Hours]]&lt;=72,"Medium","Slow"))</f>
        <v>Fast</v>
      </c>
    </row>
    <row r="283" spans="1:13" x14ac:dyDescent="0.3">
      <c r="A283" t="s">
        <v>815</v>
      </c>
      <c r="B283" t="s">
        <v>816</v>
      </c>
      <c r="C283" t="s">
        <v>110</v>
      </c>
      <c r="D283" t="s">
        <v>12</v>
      </c>
      <c r="E283" s="2" t="s">
        <v>817</v>
      </c>
      <c r="F283">
        <v>15</v>
      </c>
      <c r="G283" t="s">
        <v>20</v>
      </c>
      <c r="H283" s="2" t="s">
        <v>817</v>
      </c>
      <c r="I283">
        <v>3</v>
      </c>
      <c r="J283" t="str">
        <f>IF(Table1[[#This Row],[Resolution_Date]]="NA","Unresolved","Resolved")</f>
        <v>Resolved</v>
      </c>
      <c r="K283">
        <f>IF(Table1[[#This Row],[Resolution_Date]]="NA"," ",Table1[[#This Row],[Resolution_Date]]-Table1[[#This Row],[Complaint_Date]])</f>
        <v>0</v>
      </c>
      <c r="L283" t="str">
        <f>TEXT(Table1[[#This Row],[Complaint_Date]],"MMM")</f>
        <v>Feb</v>
      </c>
      <c r="M283" t="str">
        <f>IF(Table1[[#This Row],[Resolution_Time_Hours]]&lt;=24,"Fast",IF(Table1[[#This Row],[Resolution_Time_Hours]]&lt;=72,"Medium","Slow"))</f>
        <v>Fast</v>
      </c>
    </row>
    <row r="284" spans="1:13" x14ac:dyDescent="0.3">
      <c r="A284" t="s">
        <v>818</v>
      </c>
      <c r="B284" t="s">
        <v>819</v>
      </c>
      <c r="C284" t="s">
        <v>34</v>
      </c>
      <c r="D284" t="s">
        <v>95</v>
      </c>
      <c r="E284" s="2" t="s">
        <v>326</v>
      </c>
      <c r="F284">
        <v>82</v>
      </c>
      <c r="G284" t="s">
        <v>20</v>
      </c>
      <c r="H284" s="2" t="s">
        <v>24</v>
      </c>
      <c r="I284">
        <v>1</v>
      </c>
      <c r="J284" t="str">
        <f>IF(Table1[[#This Row],[Resolution_Date]]="NA","Unresolved","Resolved")</f>
        <v>Resolved</v>
      </c>
      <c r="K284">
        <f>IF(Table1[[#This Row],[Resolution_Date]]="NA"," ",Table1[[#This Row],[Resolution_Date]]-Table1[[#This Row],[Complaint_Date]])</f>
        <v>3</v>
      </c>
      <c r="L284" t="str">
        <f>TEXT(Table1[[#This Row],[Complaint_Date]],"MMM")</f>
        <v>Sep</v>
      </c>
      <c r="M284" t="str">
        <f>IF(Table1[[#This Row],[Resolution_Time_Hours]]&lt;=24,"Fast",IF(Table1[[#This Row],[Resolution_Time_Hours]]&lt;=72,"Medium","Slow"))</f>
        <v>Slow</v>
      </c>
    </row>
    <row r="285" spans="1:13" x14ac:dyDescent="0.3">
      <c r="A285" t="s">
        <v>820</v>
      </c>
      <c r="B285" t="s">
        <v>821</v>
      </c>
      <c r="C285" t="s">
        <v>48</v>
      </c>
      <c r="D285" t="s">
        <v>12</v>
      </c>
      <c r="E285" s="2" t="s">
        <v>822</v>
      </c>
      <c r="F285">
        <v>67</v>
      </c>
      <c r="G285" t="s">
        <v>20</v>
      </c>
      <c r="H285" s="2" t="s">
        <v>823</v>
      </c>
      <c r="I285">
        <v>1</v>
      </c>
      <c r="J285" t="str">
        <f>IF(Table1[[#This Row],[Resolution_Date]]="NA","Unresolved","Resolved")</f>
        <v>Resolved</v>
      </c>
      <c r="K285">
        <f>IF(Table1[[#This Row],[Resolution_Date]]="NA"," ",Table1[[#This Row],[Resolution_Date]]-Table1[[#This Row],[Complaint_Date]])</f>
        <v>2</v>
      </c>
      <c r="L285" t="str">
        <f>TEXT(Table1[[#This Row],[Complaint_Date]],"MMM")</f>
        <v>May</v>
      </c>
      <c r="M285" t="str">
        <f>IF(Table1[[#This Row],[Resolution_Time_Hours]]&lt;=24,"Fast",IF(Table1[[#This Row],[Resolution_Time_Hours]]&lt;=72,"Medium","Slow"))</f>
        <v>Medium</v>
      </c>
    </row>
    <row r="286" spans="1:13" x14ac:dyDescent="0.3">
      <c r="A286" t="s">
        <v>824</v>
      </c>
      <c r="B286" t="s">
        <v>825</v>
      </c>
      <c r="C286" t="s">
        <v>17</v>
      </c>
      <c r="D286" t="s">
        <v>38</v>
      </c>
      <c r="E286" s="2" t="s">
        <v>117</v>
      </c>
      <c r="F286">
        <v>30</v>
      </c>
      <c r="G286" t="s">
        <v>20</v>
      </c>
      <c r="H286" s="2" t="s">
        <v>788</v>
      </c>
      <c r="I286">
        <v>2</v>
      </c>
      <c r="J286" t="str">
        <f>IF(Table1[[#This Row],[Resolution_Date]]="NA","Unresolved","Resolved")</f>
        <v>Resolved</v>
      </c>
      <c r="K286">
        <f>IF(Table1[[#This Row],[Resolution_Date]]="NA"," ",Table1[[#This Row],[Resolution_Date]]-Table1[[#This Row],[Complaint_Date]])</f>
        <v>1</v>
      </c>
      <c r="L286" t="str">
        <f>TEXT(Table1[[#This Row],[Complaint_Date]],"MMM")</f>
        <v>Jan</v>
      </c>
      <c r="M286" t="str">
        <f>IF(Table1[[#This Row],[Resolution_Time_Hours]]&lt;=24,"Fast",IF(Table1[[#This Row],[Resolution_Time_Hours]]&lt;=72,"Medium","Slow"))</f>
        <v>Medium</v>
      </c>
    </row>
    <row r="287" spans="1:13" x14ac:dyDescent="0.3">
      <c r="A287" t="s">
        <v>826</v>
      </c>
      <c r="B287" t="s">
        <v>827</v>
      </c>
      <c r="C287" t="s">
        <v>53</v>
      </c>
      <c r="D287" t="s">
        <v>27</v>
      </c>
      <c r="E287" s="2" t="s">
        <v>96</v>
      </c>
      <c r="F287">
        <v>1</v>
      </c>
      <c r="G287" t="s">
        <v>20</v>
      </c>
      <c r="H287" s="2" t="s">
        <v>96</v>
      </c>
      <c r="I287">
        <v>5</v>
      </c>
      <c r="J287" t="str">
        <f>IF(Table1[[#This Row],[Resolution_Date]]="NA","Unresolved","Resolved")</f>
        <v>Resolved</v>
      </c>
      <c r="K287">
        <f>IF(Table1[[#This Row],[Resolution_Date]]="NA"," ",Table1[[#This Row],[Resolution_Date]]-Table1[[#This Row],[Complaint_Date]])</f>
        <v>0</v>
      </c>
      <c r="L287" t="str">
        <f>TEXT(Table1[[#This Row],[Complaint_Date]],"MMM")</f>
        <v>Feb</v>
      </c>
      <c r="M287" t="str">
        <f>IF(Table1[[#This Row],[Resolution_Time_Hours]]&lt;=24,"Fast",IF(Table1[[#This Row],[Resolution_Time_Hours]]&lt;=72,"Medium","Slow"))</f>
        <v>Fast</v>
      </c>
    </row>
    <row r="288" spans="1:13" x14ac:dyDescent="0.3">
      <c r="A288" t="s">
        <v>828</v>
      </c>
      <c r="B288" t="s">
        <v>829</v>
      </c>
      <c r="C288" t="s">
        <v>110</v>
      </c>
      <c r="D288" t="s">
        <v>95</v>
      </c>
      <c r="E288" s="2" t="s">
        <v>137</v>
      </c>
      <c r="F288">
        <v>23</v>
      </c>
      <c r="G288" t="s">
        <v>14</v>
      </c>
      <c r="H288" s="2" t="s">
        <v>2820</v>
      </c>
      <c r="J288" t="str">
        <f>IF(Table1[[#This Row],[Resolution_Date]]="NA","Unresolved","Resolved")</f>
        <v>Unresolved</v>
      </c>
      <c r="K288" t="str">
        <f>IF(Table1[[#This Row],[Resolution_Date]]="NA"," ",Table1[[#This Row],[Resolution_Date]]-Table1[[#This Row],[Complaint_Date]])</f>
        <v xml:space="preserve"> </v>
      </c>
      <c r="L288" t="str">
        <f>TEXT(Table1[[#This Row],[Complaint_Date]],"MMM")</f>
        <v>Mar</v>
      </c>
      <c r="M288" t="str">
        <f>IF(Table1[[#This Row],[Resolution_Time_Hours]]&lt;=24,"Fast",IF(Table1[[#This Row],[Resolution_Time_Hours]]&lt;=72,"Medium","Slow"))</f>
        <v>Fast</v>
      </c>
    </row>
    <row r="289" spans="1:13" x14ac:dyDescent="0.3">
      <c r="A289" t="s">
        <v>830</v>
      </c>
      <c r="B289" t="s">
        <v>831</v>
      </c>
      <c r="C289" t="s">
        <v>34</v>
      </c>
      <c r="D289" t="s">
        <v>38</v>
      </c>
      <c r="E289" s="2" t="s">
        <v>832</v>
      </c>
      <c r="F289">
        <v>52</v>
      </c>
      <c r="G289" t="s">
        <v>20</v>
      </c>
      <c r="H289" s="2" t="s">
        <v>577</v>
      </c>
      <c r="I289">
        <v>1</v>
      </c>
      <c r="J289" t="str">
        <f>IF(Table1[[#This Row],[Resolution_Date]]="NA","Unresolved","Resolved")</f>
        <v>Resolved</v>
      </c>
      <c r="K289">
        <f>IF(Table1[[#This Row],[Resolution_Date]]="NA"," ",Table1[[#This Row],[Resolution_Date]]-Table1[[#This Row],[Complaint_Date]])</f>
        <v>2</v>
      </c>
      <c r="L289" t="str">
        <f>TEXT(Table1[[#This Row],[Complaint_Date]],"MMM")</f>
        <v>Aug</v>
      </c>
      <c r="M289" t="str">
        <f>IF(Table1[[#This Row],[Resolution_Time_Hours]]&lt;=24,"Fast",IF(Table1[[#This Row],[Resolution_Time_Hours]]&lt;=72,"Medium","Slow"))</f>
        <v>Medium</v>
      </c>
    </row>
    <row r="290" spans="1:13" x14ac:dyDescent="0.3">
      <c r="A290" t="s">
        <v>833</v>
      </c>
      <c r="B290" t="s">
        <v>834</v>
      </c>
      <c r="C290" t="s">
        <v>34</v>
      </c>
      <c r="D290" t="s">
        <v>18</v>
      </c>
      <c r="E290" s="2" t="s">
        <v>321</v>
      </c>
      <c r="F290">
        <v>65</v>
      </c>
      <c r="G290" t="s">
        <v>20</v>
      </c>
      <c r="H290" s="2" t="s">
        <v>449</v>
      </c>
      <c r="I290">
        <v>1</v>
      </c>
      <c r="J290" t="str">
        <f>IF(Table1[[#This Row],[Resolution_Date]]="NA","Unresolved","Resolved")</f>
        <v>Resolved</v>
      </c>
      <c r="K290">
        <f>IF(Table1[[#This Row],[Resolution_Date]]="NA"," ",Table1[[#This Row],[Resolution_Date]]-Table1[[#This Row],[Complaint_Date]])</f>
        <v>2</v>
      </c>
      <c r="L290" t="str">
        <f>TEXT(Table1[[#This Row],[Complaint_Date]],"MMM")</f>
        <v>Jun</v>
      </c>
      <c r="M290" t="str">
        <f>IF(Table1[[#This Row],[Resolution_Time_Hours]]&lt;=24,"Fast",IF(Table1[[#This Row],[Resolution_Time_Hours]]&lt;=72,"Medium","Slow"))</f>
        <v>Medium</v>
      </c>
    </row>
    <row r="291" spans="1:13" x14ac:dyDescent="0.3">
      <c r="A291" t="s">
        <v>835</v>
      </c>
      <c r="B291" t="s">
        <v>836</v>
      </c>
      <c r="C291" t="s">
        <v>43</v>
      </c>
      <c r="D291" t="s">
        <v>18</v>
      </c>
      <c r="E291" s="2" t="s">
        <v>822</v>
      </c>
      <c r="F291">
        <v>48</v>
      </c>
      <c r="G291" t="s">
        <v>20</v>
      </c>
      <c r="H291" s="2" t="s">
        <v>823</v>
      </c>
      <c r="I291">
        <v>2</v>
      </c>
      <c r="J291" t="str">
        <f>IF(Table1[[#This Row],[Resolution_Date]]="NA","Unresolved","Resolved")</f>
        <v>Resolved</v>
      </c>
      <c r="K291">
        <f>IF(Table1[[#This Row],[Resolution_Date]]="NA"," ",Table1[[#This Row],[Resolution_Date]]-Table1[[#This Row],[Complaint_Date]])</f>
        <v>2</v>
      </c>
      <c r="L291" t="str">
        <f>TEXT(Table1[[#This Row],[Complaint_Date]],"MMM")</f>
        <v>May</v>
      </c>
      <c r="M291" t="str">
        <f>IF(Table1[[#This Row],[Resolution_Time_Hours]]&lt;=24,"Fast",IF(Table1[[#This Row],[Resolution_Time_Hours]]&lt;=72,"Medium","Slow"))</f>
        <v>Medium</v>
      </c>
    </row>
    <row r="292" spans="1:13" x14ac:dyDescent="0.3">
      <c r="A292" t="s">
        <v>837</v>
      </c>
      <c r="B292" t="s">
        <v>838</v>
      </c>
      <c r="C292" t="s">
        <v>34</v>
      </c>
      <c r="D292" t="s">
        <v>12</v>
      </c>
      <c r="E292" s="2" t="s">
        <v>577</v>
      </c>
      <c r="F292">
        <v>69</v>
      </c>
      <c r="G292" t="s">
        <v>20</v>
      </c>
      <c r="H292" s="2" t="s">
        <v>146</v>
      </c>
      <c r="I292">
        <v>1</v>
      </c>
      <c r="J292" t="str">
        <f>IF(Table1[[#This Row],[Resolution_Date]]="NA","Unresolved","Resolved")</f>
        <v>Resolved</v>
      </c>
      <c r="K292">
        <f>IF(Table1[[#This Row],[Resolution_Date]]="NA"," ",Table1[[#This Row],[Resolution_Date]]-Table1[[#This Row],[Complaint_Date]])</f>
        <v>2</v>
      </c>
      <c r="L292" t="str">
        <f>TEXT(Table1[[#This Row],[Complaint_Date]],"MMM")</f>
        <v>Aug</v>
      </c>
      <c r="M292" t="str">
        <f>IF(Table1[[#This Row],[Resolution_Time_Hours]]&lt;=24,"Fast",IF(Table1[[#This Row],[Resolution_Time_Hours]]&lt;=72,"Medium","Slow"))</f>
        <v>Medium</v>
      </c>
    </row>
    <row r="293" spans="1:13" x14ac:dyDescent="0.3">
      <c r="A293" t="s">
        <v>839</v>
      </c>
      <c r="B293" t="s">
        <v>840</v>
      </c>
      <c r="C293" t="s">
        <v>34</v>
      </c>
      <c r="D293" t="s">
        <v>12</v>
      </c>
      <c r="E293" s="2" t="s">
        <v>528</v>
      </c>
      <c r="F293">
        <v>37</v>
      </c>
      <c r="G293" t="s">
        <v>14</v>
      </c>
      <c r="H293" s="2" t="s">
        <v>2820</v>
      </c>
      <c r="J293" t="str">
        <f>IF(Table1[[#This Row],[Resolution_Date]]="NA","Unresolved","Resolved")</f>
        <v>Unresolved</v>
      </c>
      <c r="K293" t="str">
        <f>IF(Table1[[#This Row],[Resolution_Date]]="NA"," ",Table1[[#This Row],[Resolution_Date]]-Table1[[#This Row],[Complaint_Date]])</f>
        <v xml:space="preserve"> </v>
      </c>
      <c r="L293" t="str">
        <f>TEXT(Table1[[#This Row],[Complaint_Date]],"MMM")</f>
        <v>Dec</v>
      </c>
      <c r="M293" t="str">
        <f>IF(Table1[[#This Row],[Resolution_Time_Hours]]&lt;=24,"Fast",IF(Table1[[#This Row],[Resolution_Time_Hours]]&lt;=72,"Medium","Slow"))</f>
        <v>Medium</v>
      </c>
    </row>
    <row r="294" spans="1:13" x14ac:dyDescent="0.3">
      <c r="A294" t="s">
        <v>841</v>
      </c>
      <c r="B294" t="s">
        <v>842</v>
      </c>
      <c r="C294" t="s">
        <v>53</v>
      </c>
      <c r="D294" t="s">
        <v>18</v>
      </c>
      <c r="E294" s="2" t="s">
        <v>89</v>
      </c>
      <c r="F294">
        <v>10</v>
      </c>
      <c r="G294" t="s">
        <v>20</v>
      </c>
      <c r="H294" s="2" t="s">
        <v>89</v>
      </c>
      <c r="I294">
        <v>4</v>
      </c>
      <c r="J294" t="str">
        <f>IF(Table1[[#This Row],[Resolution_Date]]="NA","Unresolved","Resolved")</f>
        <v>Resolved</v>
      </c>
      <c r="K294">
        <f>IF(Table1[[#This Row],[Resolution_Date]]="NA"," ",Table1[[#This Row],[Resolution_Date]]-Table1[[#This Row],[Complaint_Date]])</f>
        <v>0</v>
      </c>
      <c r="L294" t="str">
        <f>TEXT(Table1[[#This Row],[Complaint_Date]],"MMM")</f>
        <v>Jun</v>
      </c>
      <c r="M294" t="str">
        <f>IF(Table1[[#This Row],[Resolution_Time_Hours]]&lt;=24,"Fast",IF(Table1[[#This Row],[Resolution_Time_Hours]]&lt;=72,"Medium","Slow"))</f>
        <v>Fast</v>
      </c>
    </row>
    <row r="295" spans="1:13" x14ac:dyDescent="0.3">
      <c r="A295" t="s">
        <v>843</v>
      </c>
      <c r="B295" t="s">
        <v>844</v>
      </c>
      <c r="C295" t="s">
        <v>11</v>
      </c>
      <c r="D295" t="s">
        <v>12</v>
      </c>
      <c r="E295" s="2" t="s">
        <v>369</v>
      </c>
      <c r="F295">
        <v>11</v>
      </c>
      <c r="G295" t="s">
        <v>20</v>
      </c>
      <c r="H295" s="2" t="s">
        <v>369</v>
      </c>
      <c r="I295">
        <v>4</v>
      </c>
      <c r="J295" t="str">
        <f>IF(Table1[[#This Row],[Resolution_Date]]="NA","Unresolved","Resolved")</f>
        <v>Resolved</v>
      </c>
      <c r="K295">
        <f>IF(Table1[[#This Row],[Resolution_Date]]="NA"," ",Table1[[#This Row],[Resolution_Date]]-Table1[[#This Row],[Complaint_Date]])</f>
        <v>0</v>
      </c>
      <c r="L295" t="str">
        <f>TEXT(Table1[[#This Row],[Complaint_Date]],"MMM")</f>
        <v>May</v>
      </c>
      <c r="M295" t="str">
        <f>IF(Table1[[#This Row],[Resolution_Time_Hours]]&lt;=24,"Fast",IF(Table1[[#This Row],[Resolution_Time_Hours]]&lt;=72,"Medium","Slow"))</f>
        <v>Fast</v>
      </c>
    </row>
    <row r="296" spans="1:13" x14ac:dyDescent="0.3">
      <c r="A296" t="s">
        <v>845</v>
      </c>
      <c r="B296" t="s">
        <v>846</v>
      </c>
      <c r="C296" t="s">
        <v>110</v>
      </c>
      <c r="D296" t="s">
        <v>27</v>
      </c>
      <c r="E296" s="2" t="s">
        <v>292</v>
      </c>
      <c r="F296">
        <v>8</v>
      </c>
      <c r="G296" t="s">
        <v>20</v>
      </c>
      <c r="H296" s="2" t="s">
        <v>292</v>
      </c>
      <c r="I296">
        <v>5</v>
      </c>
      <c r="J296" t="str">
        <f>IF(Table1[[#This Row],[Resolution_Date]]="NA","Unresolved","Resolved")</f>
        <v>Resolved</v>
      </c>
      <c r="K296">
        <f>IF(Table1[[#This Row],[Resolution_Date]]="NA"," ",Table1[[#This Row],[Resolution_Date]]-Table1[[#This Row],[Complaint_Date]])</f>
        <v>0</v>
      </c>
      <c r="L296" t="str">
        <f>TEXT(Table1[[#This Row],[Complaint_Date]],"MMM")</f>
        <v>Oct</v>
      </c>
      <c r="M296" t="str">
        <f>IF(Table1[[#This Row],[Resolution_Time_Hours]]&lt;=24,"Fast",IF(Table1[[#This Row],[Resolution_Time_Hours]]&lt;=72,"Medium","Slow"))</f>
        <v>Fast</v>
      </c>
    </row>
    <row r="297" spans="1:13" x14ac:dyDescent="0.3">
      <c r="A297" t="s">
        <v>847</v>
      </c>
      <c r="B297" t="s">
        <v>848</v>
      </c>
      <c r="C297" t="s">
        <v>11</v>
      </c>
      <c r="D297" t="s">
        <v>38</v>
      </c>
      <c r="E297" s="2" t="s">
        <v>849</v>
      </c>
      <c r="F297">
        <v>34</v>
      </c>
      <c r="G297" t="s">
        <v>20</v>
      </c>
      <c r="H297" s="2" t="s">
        <v>850</v>
      </c>
      <c r="I297">
        <v>2</v>
      </c>
      <c r="J297" t="str">
        <f>IF(Table1[[#This Row],[Resolution_Date]]="NA","Unresolved","Resolved")</f>
        <v>Resolved</v>
      </c>
      <c r="K297">
        <f>IF(Table1[[#This Row],[Resolution_Date]]="NA"," ",Table1[[#This Row],[Resolution_Date]]-Table1[[#This Row],[Complaint_Date]])</f>
        <v>1</v>
      </c>
      <c r="L297" t="str">
        <f>TEXT(Table1[[#This Row],[Complaint_Date]],"MMM")</f>
        <v>Jun</v>
      </c>
      <c r="M297" t="str">
        <f>IF(Table1[[#This Row],[Resolution_Time_Hours]]&lt;=24,"Fast",IF(Table1[[#This Row],[Resolution_Time_Hours]]&lt;=72,"Medium","Slow"))</f>
        <v>Medium</v>
      </c>
    </row>
    <row r="298" spans="1:13" x14ac:dyDescent="0.3">
      <c r="A298" t="s">
        <v>851</v>
      </c>
      <c r="B298" t="s">
        <v>852</v>
      </c>
      <c r="C298" t="s">
        <v>53</v>
      </c>
      <c r="D298" t="s">
        <v>18</v>
      </c>
      <c r="E298" s="2" t="s">
        <v>681</v>
      </c>
      <c r="F298">
        <v>10</v>
      </c>
      <c r="G298" t="s">
        <v>20</v>
      </c>
      <c r="H298" s="2" t="s">
        <v>681</v>
      </c>
      <c r="I298">
        <v>5</v>
      </c>
      <c r="J298" t="str">
        <f>IF(Table1[[#This Row],[Resolution_Date]]="NA","Unresolved","Resolved")</f>
        <v>Resolved</v>
      </c>
      <c r="K298">
        <f>IF(Table1[[#This Row],[Resolution_Date]]="NA"," ",Table1[[#This Row],[Resolution_Date]]-Table1[[#This Row],[Complaint_Date]])</f>
        <v>0</v>
      </c>
      <c r="L298" t="str">
        <f>TEXT(Table1[[#This Row],[Complaint_Date]],"MMM")</f>
        <v>Apr</v>
      </c>
      <c r="M298" t="str">
        <f>IF(Table1[[#This Row],[Resolution_Time_Hours]]&lt;=24,"Fast",IF(Table1[[#This Row],[Resolution_Time_Hours]]&lt;=72,"Medium","Slow"))</f>
        <v>Fast</v>
      </c>
    </row>
    <row r="299" spans="1:13" x14ac:dyDescent="0.3">
      <c r="A299" t="s">
        <v>853</v>
      </c>
      <c r="B299" t="s">
        <v>854</v>
      </c>
      <c r="C299" t="s">
        <v>70</v>
      </c>
      <c r="D299" t="s">
        <v>38</v>
      </c>
      <c r="E299" s="2" t="s">
        <v>855</v>
      </c>
      <c r="F299">
        <v>22</v>
      </c>
      <c r="G299" t="s">
        <v>20</v>
      </c>
      <c r="H299" s="2" t="s">
        <v>855</v>
      </c>
      <c r="I299">
        <v>3</v>
      </c>
      <c r="J299" t="str">
        <f>IF(Table1[[#This Row],[Resolution_Date]]="NA","Unresolved","Resolved")</f>
        <v>Resolved</v>
      </c>
      <c r="K299">
        <f>IF(Table1[[#This Row],[Resolution_Date]]="NA"," ",Table1[[#This Row],[Resolution_Date]]-Table1[[#This Row],[Complaint_Date]])</f>
        <v>0</v>
      </c>
      <c r="L299" t="str">
        <f>TEXT(Table1[[#This Row],[Complaint_Date]],"MMM")</f>
        <v>Dec</v>
      </c>
      <c r="M299" t="str">
        <f>IF(Table1[[#This Row],[Resolution_Time_Hours]]&lt;=24,"Fast",IF(Table1[[#This Row],[Resolution_Time_Hours]]&lt;=72,"Medium","Slow"))</f>
        <v>Fast</v>
      </c>
    </row>
    <row r="300" spans="1:13" x14ac:dyDescent="0.3">
      <c r="A300" t="s">
        <v>856</v>
      </c>
      <c r="B300" t="s">
        <v>857</v>
      </c>
      <c r="C300" t="s">
        <v>53</v>
      </c>
      <c r="D300" t="s">
        <v>12</v>
      </c>
      <c r="E300" s="2" t="s">
        <v>858</v>
      </c>
      <c r="F300">
        <v>7</v>
      </c>
      <c r="G300" t="s">
        <v>20</v>
      </c>
      <c r="H300" s="2" t="s">
        <v>858</v>
      </c>
      <c r="I300">
        <v>4</v>
      </c>
      <c r="J300" t="str">
        <f>IF(Table1[[#This Row],[Resolution_Date]]="NA","Unresolved","Resolved")</f>
        <v>Resolved</v>
      </c>
      <c r="K300">
        <f>IF(Table1[[#This Row],[Resolution_Date]]="NA"," ",Table1[[#This Row],[Resolution_Date]]-Table1[[#This Row],[Complaint_Date]])</f>
        <v>0</v>
      </c>
      <c r="L300" t="str">
        <f>TEXT(Table1[[#This Row],[Complaint_Date]],"MMM")</f>
        <v>May</v>
      </c>
      <c r="M300" t="str">
        <f>IF(Table1[[#This Row],[Resolution_Time_Hours]]&lt;=24,"Fast",IF(Table1[[#This Row],[Resolution_Time_Hours]]&lt;=72,"Medium","Slow"))</f>
        <v>Fast</v>
      </c>
    </row>
    <row r="301" spans="1:13" x14ac:dyDescent="0.3">
      <c r="A301" t="s">
        <v>859</v>
      </c>
      <c r="B301" t="s">
        <v>860</v>
      </c>
      <c r="C301" t="s">
        <v>17</v>
      </c>
      <c r="D301" t="s">
        <v>95</v>
      </c>
      <c r="E301" s="2" t="s">
        <v>133</v>
      </c>
      <c r="F301">
        <v>14</v>
      </c>
      <c r="G301" t="s">
        <v>20</v>
      </c>
      <c r="H301" s="2" t="s">
        <v>133</v>
      </c>
      <c r="I301">
        <v>3</v>
      </c>
      <c r="J301" t="str">
        <f>IF(Table1[[#This Row],[Resolution_Date]]="NA","Unresolved","Resolved")</f>
        <v>Resolved</v>
      </c>
      <c r="K301">
        <f>IF(Table1[[#This Row],[Resolution_Date]]="NA"," ",Table1[[#This Row],[Resolution_Date]]-Table1[[#This Row],[Complaint_Date]])</f>
        <v>0</v>
      </c>
      <c r="L301" t="str">
        <f>TEXT(Table1[[#This Row],[Complaint_Date]],"MMM")</f>
        <v>Jun</v>
      </c>
      <c r="M301" t="str">
        <f>IF(Table1[[#This Row],[Resolution_Time_Hours]]&lt;=24,"Fast",IF(Table1[[#This Row],[Resolution_Time_Hours]]&lt;=72,"Medium","Slow"))</f>
        <v>Fast</v>
      </c>
    </row>
    <row r="302" spans="1:13" x14ac:dyDescent="0.3">
      <c r="A302" t="s">
        <v>861</v>
      </c>
      <c r="B302" t="s">
        <v>862</v>
      </c>
      <c r="C302" t="s">
        <v>17</v>
      </c>
      <c r="D302" t="s">
        <v>12</v>
      </c>
      <c r="E302" s="2" t="s">
        <v>632</v>
      </c>
      <c r="F302">
        <v>10</v>
      </c>
      <c r="G302" t="s">
        <v>40</v>
      </c>
      <c r="H302" s="2" t="s">
        <v>2820</v>
      </c>
      <c r="J302" t="str">
        <f>IF(Table1[[#This Row],[Resolution_Date]]="NA","Unresolved","Resolved")</f>
        <v>Unresolved</v>
      </c>
      <c r="K302" t="str">
        <f>IF(Table1[[#This Row],[Resolution_Date]]="NA"," ",Table1[[#This Row],[Resolution_Date]]-Table1[[#This Row],[Complaint_Date]])</f>
        <v xml:space="preserve"> </v>
      </c>
      <c r="L302" t="str">
        <f>TEXT(Table1[[#This Row],[Complaint_Date]],"MMM")</f>
        <v>Mar</v>
      </c>
      <c r="M302" t="str">
        <f>IF(Table1[[#This Row],[Resolution_Time_Hours]]&lt;=24,"Fast",IF(Table1[[#This Row],[Resolution_Time_Hours]]&lt;=72,"Medium","Slow"))</f>
        <v>Fast</v>
      </c>
    </row>
    <row r="303" spans="1:13" x14ac:dyDescent="0.3">
      <c r="A303" t="s">
        <v>863</v>
      </c>
      <c r="B303" t="s">
        <v>864</v>
      </c>
      <c r="C303" t="s">
        <v>11</v>
      </c>
      <c r="D303" t="s">
        <v>12</v>
      </c>
      <c r="E303" s="2" t="s">
        <v>413</v>
      </c>
      <c r="F303">
        <v>11</v>
      </c>
      <c r="G303" t="s">
        <v>20</v>
      </c>
      <c r="H303" s="2" t="s">
        <v>413</v>
      </c>
      <c r="I303">
        <v>4</v>
      </c>
      <c r="J303" t="str">
        <f>IF(Table1[[#This Row],[Resolution_Date]]="NA","Unresolved","Resolved")</f>
        <v>Resolved</v>
      </c>
      <c r="K303">
        <f>IF(Table1[[#This Row],[Resolution_Date]]="NA"," ",Table1[[#This Row],[Resolution_Date]]-Table1[[#This Row],[Complaint_Date]])</f>
        <v>0</v>
      </c>
      <c r="L303" t="str">
        <f>TEXT(Table1[[#This Row],[Complaint_Date]],"MMM")</f>
        <v>Jun</v>
      </c>
      <c r="M303" t="str">
        <f>IF(Table1[[#This Row],[Resolution_Time_Hours]]&lt;=24,"Fast",IF(Table1[[#This Row],[Resolution_Time_Hours]]&lt;=72,"Medium","Slow"))</f>
        <v>Fast</v>
      </c>
    </row>
    <row r="304" spans="1:13" x14ac:dyDescent="0.3">
      <c r="A304" t="s">
        <v>865</v>
      </c>
      <c r="B304" t="s">
        <v>866</v>
      </c>
      <c r="C304" t="s">
        <v>11</v>
      </c>
      <c r="D304" t="s">
        <v>38</v>
      </c>
      <c r="E304" s="2" t="s">
        <v>192</v>
      </c>
      <c r="F304">
        <v>9</v>
      </c>
      <c r="G304" t="s">
        <v>20</v>
      </c>
      <c r="H304" s="2" t="s">
        <v>192</v>
      </c>
      <c r="I304">
        <v>4</v>
      </c>
      <c r="J304" t="str">
        <f>IF(Table1[[#This Row],[Resolution_Date]]="NA","Unresolved","Resolved")</f>
        <v>Resolved</v>
      </c>
      <c r="K304">
        <f>IF(Table1[[#This Row],[Resolution_Date]]="NA"," ",Table1[[#This Row],[Resolution_Date]]-Table1[[#This Row],[Complaint_Date]])</f>
        <v>0</v>
      </c>
      <c r="L304" t="str">
        <f>TEXT(Table1[[#This Row],[Complaint_Date]],"MMM")</f>
        <v>Nov</v>
      </c>
      <c r="M304" t="str">
        <f>IF(Table1[[#This Row],[Resolution_Time_Hours]]&lt;=24,"Fast",IF(Table1[[#This Row],[Resolution_Time_Hours]]&lt;=72,"Medium","Slow"))</f>
        <v>Fast</v>
      </c>
    </row>
    <row r="305" spans="1:13" x14ac:dyDescent="0.3">
      <c r="A305" t="s">
        <v>867</v>
      </c>
      <c r="B305" t="s">
        <v>868</v>
      </c>
      <c r="C305" t="s">
        <v>17</v>
      </c>
      <c r="D305" t="s">
        <v>12</v>
      </c>
      <c r="E305" s="2" t="s">
        <v>398</v>
      </c>
      <c r="F305">
        <v>13</v>
      </c>
      <c r="G305" t="s">
        <v>14</v>
      </c>
      <c r="H305" s="2" t="s">
        <v>2820</v>
      </c>
      <c r="J305" t="str">
        <f>IF(Table1[[#This Row],[Resolution_Date]]="NA","Unresolved","Resolved")</f>
        <v>Unresolved</v>
      </c>
      <c r="K305" t="str">
        <f>IF(Table1[[#This Row],[Resolution_Date]]="NA"," ",Table1[[#This Row],[Resolution_Date]]-Table1[[#This Row],[Complaint_Date]])</f>
        <v xml:space="preserve"> </v>
      </c>
      <c r="L305" t="str">
        <f>TEXT(Table1[[#This Row],[Complaint_Date]],"MMM")</f>
        <v>Oct</v>
      </c>
      <c r="M305" t="str">
        <f>IF(Table1[[#This Row],[Resolution_Time_Hours]]&lt;=24,"Fast",IF(Table1[[#This Row],[Resolution_Time_Hours]]&lt;=72,"Medium","Slow"))</f>
        <v>Fast</v>
      </c>
    </row>
    <row r="306" spans="1:13" x14ac:dyDescent="0.3">
      <c r="A306" t="s">
        <v>869</v>
      </c>
      <c r="B306" t="s">
        <v>870</v>
      </c>
      <c r="C306" t="s">
        <v>110</v>
      </c>
      <c r="D306" t="s">
        <v>27</v>
      </c>
      <c r="E306" s="2" t="s">
        <v>192</v>
      </c>
      <c r="F306">
        <v>9</v>
      </c>
      <c r="G306" t="s">
        <v>20</v>
      </c>
      <c r="H306" s="2" t="s">
        <v>192</v>
      </c>
      <c r="I306">
        <v>4</v>
      </c>
      <c r="J306" t="str">
        <f>IF(Table1[[#This Row],[Resolution_Date]]="NA","Unresolved","Resolved")</f>
        <v>Resolved</v>
      </c>
      <c r="K306">
        <f>IF(Table1[[#This Row],[Resolution_Date]]="NA"," ",Table1[[#This Row],[Resolution_Date]]-Table1[[#This Row],[Complaint_Date]])</f>
        <v>0</v>
      </c>
      <c r="L306" t="str">
        <f>TEXT(Table1[[#This Row],[Complaint_Date]],"MMM")</f>
        <v>Nov</v>
      </c>
      <c r="M306" t="str">
        <f>IF(Table1[[#This Row],[Resolution_Time_Hours]]&lt;=24,"Fast",IF(Table1[[#This Row],[Resolution_Time_Hours]]&lt;=72,"Medium","Slow"))</f>
        <v>Fast</v>
      </c>
    </row>
    <row r="307" spans="1:13" x14ac:dyDescent="0.3">
      <c r="A307" t="s">
        <v>871</v>
      </c>
      <c r="B307" t="s">
        <v>872</v>
      </c>
      <c r="C307" t="s">
        <v>34</v>
      </c>
      <c r="D307" t="s">
        <v>95</v>
      </c>
      <c r="E307" s="2" t="s">
        <v>339</v>
      </c>
      <c r="F307">
        <v>66</v>
      </c>
      <c r="G307" t="s">
        <v>20</v>
      </c>
      <c r="H307" s="2" t="s">
        <v>681</v>
      </c>
      <c r="I307">
        <v>1</v>
      </c>
      <c r="J307" t="str">
        <f>IF(Table1[[#This Row],[Resolution_Date]]="NA","Unresolved","Resolved")</f>
        <v>Resolved</v>
      </c>
      <c r="K307">
        <f>IF(Table1[[#This Row],[Resolution_Date]]="NA"," ",Table1[[#This Row],[Resolution_Date]]-Table1[[#This Row],[Complaint_Date]])</f>
        <v>2</v>
      </c>
      <c r="L307" t="str">
        <f>TEXT(Table1[[#This Row],[Complaint_Date]],"MMM")</f>
        <v>Apr</v>
      </c>
      <c r="M307" t="str">
        <f>IF(Table1[[#This Row],[Resolution_Time_Hours]]&lt;=24,"Fast",IF(Table1[[#This Row],[Resolution_Time_Hours]]&lt;=72,"Medium","Slow"))</f>
        <v>Medium</v>
      </c>
    </row>
    <row r="308" spans="1:13" x14ac:dyDescent="0.3">
      <c r="A308" t="s">
        <v>873</v>
      </c>
      <c r="B308" t="s">
        <v>874</v>
      </c>
      <c r="C308" t="s">
        <v>110</v>
      </c>
      <c r="D308" t="s">
        <v>27</v>
      </c>
      <c r="E308" s="2" t="s">
        <v>875</v>
      </c>
      <c r="F308">
        <v>24</v>
      </c>
      <c r="G308" t="s">
        <v>20</v>
      </c>
      <c r="H308" s="2" t="s">
        <v>750</v>
      </c>
      <c r="I308">
        <v>3</v>
      </c>
      <c r="J308" t="str">
        <f>IF(Table1[[#This Row],[Resolution_Date]]="NA","Unresolved","Resolved")</f>
        <v>Resolved</v>
      </c>
      <c r="K308">
        <f>IF(Table1[[#This Row],[Resolution_Date]]="NA"," ",Table1[[#This Row],[Resolution_Date]]-Table1[[#This Row],[Complaint_Date]])</f>
        <v>1</v>
      </c>
      <c r="L308" t="str">
        <f>TEXT(Table1[[#This Row],[Complaint_Date]],"MMM")</f>
        <v>Mar</v>
      </c>
      <c r="M308" t="str">
        <f>IF(Table1[[#This Row],[Resolution_Time_Hours]]&lt;=24,"Fast",IF(Table1[[#This Row],[Resolution_Time_Hours]]&lt;=72,"Medium","Slow"))</f>
        <v>Fast</v>
      </c>
    </row>
    <row r="309" spans="1:13" x14ac:dyDescent="0.3">
      <c r="A309" t="s">
        <v>876</v>
      </c>
      <c r="B309" t="s">
        <v>877</v>
      </c>
      <c r="C309" t="s">
        <v>34</v>
      </c>
      <c r="D309" t="s">
        <v>38</v>
      </c>
      <c r="E309" s="2" t="s">
        <v>878</v>
      </c>
      <c r="F309">
        <v>77</v>
      </c>
      <c r="G309" t="s">
        <v>40</v>
      </c>
      <c r="H309" s="2" t="s">
        <v>2820</v>
      </c>
      <c r="J309" t="str">
        <f>IF(Table1[[#This Row],[Resolution_Date]]="NA","Unresolved","Resolved")</f>
        <v>Unresolved</v>
      </c>
      <c r="K309" t="str">
        <f>IF(Table1[[#This Row],[Resolution_Date]]="NA"," ",Table1[[#This Row],[Resolution_Date]]-Table1[[#This Row],[Complaint_Date]])</f>
        <v xml:space="preserve"> </v>
      </c>
      <c r="L309" t="str">
        <f>TEXT(Table1[[#This Row],[Complaint_Date]],"MMM")</f>
        <v>Jul</v>
      </c>
      <c r="M309" t="str">
        <f>IF(Table1[[#This Row],[Resolution_Time_Hours]]&lt;=24,"Fast",IF(Table1[[#This Row],[Resolution_Time_Hours]]&lt;=72,"Medium","Slow"))</f>
        <v>Slow</v>
      </c>
    </row>
    <row r="310" spans="1:13" x14ac:dyDescent="0.3">
      <c r="A310" t="s">
        <v>879</v>
      </c>
      <c r="B310" t="s">
        <v>880</v>
      </c>
      <c r="C310" t="s">
        <v>53</v>
      </c>
      <c r="D310" t="s">
        <v>27</v>
      </c>
      <c r="E310" s="2" t="s">
        <v>398</v>
      </c>
      <c r="F310">
        <v>10</v>
      </c>
      <c r="G310" t="s">
        <v>20</v>
      </c>
      <c r="H310" s="2" t="s">
        <v>398</v>
      </c>
      <c r="I310">
        <v>4</v>
      </c>
      <c r="J310" t="str">
        <f>IF(Table1[[#This Row],[Resolution_Date]]="NA","Unresolved","Resolved")</f>
        <v>Resolved</v>
      </c>
      <c r="K310">
        <f>IF(Table1[[#This Row],[Resolution_Date]]="NA"," ",Table1[[#This Row],[Resolution_Date]]-Table1[[#This Row],[Complaint_Date]])</f>
        <v>0</v>
      </c>
      <c r="L310" t="str">
        <f>TEXT(Table1[[#This Row],[Complaint_Date]],"MMM")</f>
        <v>Oct</v>
      </c>
      <c r="M310" t="str">
        <f>IF(Table1[[#This Row],[Resolution_Time_Hours]]&lt;=24,"Fast",IF(Table1[[#This Row],[Resolution_Time_Hours]]&lt;=72,"Medium","Slow"))</f>
        <v>Fast</v>
      </c>
    </row>
    <row r="311" spans="1:13" x14ac:dyDescent="0.3">
      <c r="A311" t="s">
        <v>881</v>
      </c>
      <c r="B311" t="s">
        <v>882</v>
      </c>
      <c r="C311" t="s">
        <v>17</v>
      </c>
      <c r="D311" t="s">
        <v>18</v>
      </c>
      <c r="E311" s="2" t="s">
        <v>883</v>
      </c>
      <c r="F311">
        <v>34</v>
      </c>
      <c r="G311" t="s">
        <v>40</v>
      </c>
      <c r="H311" s="2" t="s">
        <v>2820</v>
      </c>
      <c r="J311" t="str">
        <f>IF(Table1[[#This Row],[Resolution_Date]]="NA","Unresolved","Resolved")</f>
        <v>Unresolved</v>
      </c>
      <c r="K311" t="str">
        <f>IF(Table1[[#This Row],[Resolution_Date]]="NA"," ",Table1[[#This Row],[Resolution_Date]]-Table1[[#This Row],[Complaint_Date]])</f>
        <v xml:space="preserve"> </v>
      </c>
      <c r="L311" t="str">
        <f>TEXT(Table1[[#This Row],[Complaint_Date]],"MMM")</f>
        <v>Jun</v>
      </c>
      <c r="M311" t="str">
        <f>IF(Table1[[#This Row],[Resolution_Time_Hours]]&lt;=24,"Fast",IF(Table1[[#This Row],[Resolution_Time_Hours]]&lt;=72,"Medium","Slow"))</f>
        <v>Medium</v>
      </c>
    </row>
    <row r="312" spans="1:13" x14ac:dyDescent="0.3">
      <c r="A312" t="s">
        <v>884</v>
      </c>
      <c r="B312" t="s">
        <v>885</v>
      </c>
      <c r="C312" t="s">
        <v>53</v>
      </c>
      <c r="D312" t="s">
        <v>95</v>
      </c>
      <c r="E312" s="2" t="s">
        <v>886</v>
      </c>
      <c r="F312">
        <v>9</v>
      </c>
      <c r="G312" t="s">
        <v>20</v>
      </c>
      <c r="H312" s="2" t="s">
        <v>886</v>
      </c>
      <c r="I312">
        <v>4</v>
      </c>
      <c r="J312" t="str">
        <f>IF(Table1[[#This Row],[Resolution_Date]]="NA","Unresolved","Resolved")</f>
        <v>Resolved</v>
      </c>
      <c r="K312">
        <f>IF(Table1[[#This Row],[Resolution_Date]]="NA"," ",Table1[[#This Row],[Resolution_Date]]-Table1[[#This Row],[Complaint_Date]])</f>
        <v>0</v>
      </c>
      <c r="L312" t="str">
        <f>TEXT(Table1[[#This Row],[Complaint_Date]],"MMM")</f>
        <v>Jan</v>
      </c>
      <c r="M312" t="str">
        <f>IF(Table1[[#This Row],[Resolution_Time_Hours]]&lt;=24,"Fast",IF(Table1[[#This Row],[Resolution_Time_Hours]]&lt;=72,"Medium","Slow"))</f>
        <v>Fast</v>
      </c>
    </row>
    <row r="313" spans="1:13" x14ac:dyDescent="0.3">
      <c r="A313" t="s">
        <v>887</v>
      </c>
      <c r="B313" t="s">
        <v>888</v>
      </c>
      <c r="C313" t="s">
        <v>70</v>
      </c>
      <c r="D313" t="s">
        <v>27</v>
      </c>
      <c r="E313" s="2" t="s">
        <v>889</v>
      </c>
      <c r="F313">
        <v>17</v>
      </c>
      <c r="G313" t="s">
        <v>40</v>
      </c>
      <c r="H313" s="2" t="s">
        <v>2820</v>
      </c>
      <c r="J313" t="str">
        <f>IF(Table1[[#This Row],[Resolution_Date]]="NA","Unresolved","Resolved")</f>
        <v>Unresolved</v>
      </c>
      <c r="K313" t="str">
        <f>IF(Table1[[#This Row],[Resolution_Date]]="NA"," ",Table1[[#This Row],[Resolution_Date]]-Table1[[#This Row],[Complaint_Date]])</f>
        <v xml:space="preserve"> </v>
      </c>
      <c r="L313" t="str">
        <f>TEXT(Table1[[#This Row],[Complaint_Date]],"MMM")</f>
        <v>Dec</v>
      </c>
      <c r="M313" t="str">
        <f>IF(Table1[[#This Row],[Resolution_Time_Hours]]&lt;=24,"Fast",IF(Table1[[#This Row],[Resolution_Time_Hours]]&lt;=72,"Medium","Slow"))</f>
        <v>Fast</v>
      </c>
    </row>
    <row r="314" spans="1:13" x14ac:dyDescent="0.3">
      <c r="A314" t="s">
        <v>890</v>
      </c>
      <c r="B314" t="s">
        <v>891</v>
      </c>
      <c r="C314" t="s">
        <v>34</v>
      </c>
      <c r="D314" t="s">
        <v>12</v>
      </c>
      <c r="E314" s="2" t="s">
        <v>892</v>
      </c>
      <c r="F314">
        <v>80</v>
      </c>
      <c r="G314" t="s">
        <v>20</v>
      </c>
      <c r="H314" s="2" t="s">
        <v>893</v>
      </c>
      <c r="I314">
        <v>1</v>
      </c>
      <c r="J314" t="str">
        <f>IF(Table1[[#This Row],[Resolution_Date]]="NA","Unresolved","Resolved")</f>
        <v>Resolved</v>
      </c>
      <c r="K314">
        <f>IF(Table1[[#This Row],[Resolution_Date]]="NA"," ",Table1[[#This Row],[Resolution_Date]]-Table1[[#This Row],[Complaint_Date]])</f>
        <v>3</v>
      </c>
      <c r="L314" t="str">
        <f>TEXT(Table1[[#This Row],[Complaint_Date]],"MMM")</f>
        <v>Dec</v>
      </c>
      <c r="M314" t="str">
        <f>IF(Table1[[#This Row],[Resolution_Time_Hours]]&lt;=24,"Fast",IF(Table1[[#This Row],[Resolution_Time_Hours]]&lt;=72,"Medium","Slow"))</f>
        <v>Slow</v>
      </c>
    </row>
    <row r="315" spans="1:13" x14ac:dyDescent="0.3">
      <c r="A315" t="s">
        <v>894</v>
      </c>
      <c r="B315" t="s">
        <v>895</v>
      </c>
      <c r="C315" t="s">
        <v>110</v>
      </c>
      <c r="D315" t="s">
        <v>12</v>
      </c>
      <c r="E315" s="2" t="s">
        <v>896</v>
      </c>
      <c r="F315">
        <v>23</v>
      </c>
      <c r="G315" t="s">
        <v>20</v>
      </c>
      <c r="H315" s="2" t="s">
        <v>896</v>
      </c>
      <c r="I315">
        <v>3</v>
      </c>
      <c r="J315" t="str">
        <f>IF(Table1[[#This Row],[Resolution_Date]]="NA","Unresolved","Resolved")</f>
        <v>Resolved</v>
      </c>
      <c r="K315">
        <f>IF(Table1[[#This Row],[Resolution_Date]]="NA"," ",Table1[[#This Row],[Resolution_Date]]-Table1[[#This Row],[Complaint_Date]])</f>
        <v>0</v>
      </c>
      <c r="L315" t="str">
        <f>TEXT(Table1[[#This Row],[Complaint_Date]],"MMM")</f>
        <v>Mar</v>
      </c>
      <c r="M315" t="str">
        <f>IF(Table1[[#This Row],[Resolution_Time_Hours]]&lt;=24,"Fast",IF(Table1[[#This Row],[Resolution_Time_Hours]]&lt;=72,"Medium","Slow"))</f>
        <v>Fast</v>
      </c>
    </row>
    <row r="316" spans="1:13" x14ac:dyDescent="0.3">
      <c r="A316" t="s">
        <v>897</v>
      </c>
      <c r="B316" t="s">
        <v>898</v>
      </c>
      <c r="C316" t="s">
        <v>48</v>
      </c>
      <c r="D316" t="s">
        <v>12</v>
      </c>
      <c r="E316" s="2" t="s">
        <v>441</v>
      </c>
      <c r="F316">
        <v>61</v>
      </c>
      <c r="G316" t="s">
        <v>20</v>
      </c>
      <c r="H316" s="2" t="s">
        <v>643</v>
      </c>
      <c r="I316">
        <v>1</v>
      </c>
      <c r="J316" t="str">
        <f>IF(Table1[[#This Row],[Resolution_Date]]="NA","Unresolved","Resolved")</f>
        <v>Resolved</v>
      </c>
      <c r="K316">
        <f>IF(Table1[[#This Row],[Resolution_Date]]="NA"," ",Table1[[#This Row],[Resolution_Date]]-Table1[[#This Row],[Complaint_Date]])</f>
        <v>2</v>
      </c>
      <c r="L316" t="str">
        <f>TEXT(Table1[[#This Row],[Complaint_Date]],"MMM")</f>
        <v>Sep</v>
      </c>
      <c r="M316" t="str">
        <f>IF(Table1[[#This Row],[Resolution_Time_Hours]]&lt;=24,"Fast",IF(Table1[[#This Row],[Resolution_Time_Hours]]&lt;=72,"Medium","Slow"))</f>
        <v>Medium</v>
      </c>
    </row>
    <row r="317" spans="1:13" x14ac:dyDescent="0.3">
      <c r="A317" t="s">
        <v>899</v>
      </c>
      <c r="B317" t="s">
        <v>900</v>
      </c>
      <c r="C317" t="s">
        <v>70</v>
      </c>
      <c r="D317" t="s">
        <v>12</v>
      </c>
      <c r="E317" s="2" t="s">
        <v>165</v>
      </c>
      <c r="F317">
        <v>23</v>
      </c>
      <c r="G317" t="s">
        <v>20</v>
      </c>
      <c r="H317" s="2" t="s">
        <v>165</v>
      </c>
      <c r="I317">
        <v>3</v>
      </c>
      <c r="J317" t="str">
        <f>IF(Table1[[#This Row],[Resolution_Date]]="NA","Unresolved","Resolved")</f>
        <v>Resolved</v>
      </c>
      <c r="K317">
        <f>IF(Table1[[#This Row],[Resolution_Date]]="NA"," ",Table1[[#This Row],[Resolution_Date]]-Table1[[#This Row],[Complaint_Date]])</f>
        <v>0</v>
      </c>
      <c r="L317" t="str">
        <f>TEXT(Table1[[#This Row],[Complaint_Date]],"MMM")</f>
        <v>May</v>
      </c>
      <c r="M317" t="str">
        <f>IF(Table1[[#This Row],[Resolution_Time_Hours]]&lt;=24,"Fast",IF(Table1[[#This Row],[Resolution_Time_Hours]]&lt;=72,"Medium","Slow"))</f>
        <v>Fast</v>
      </c>
    </row>
    <row r="318" spans="1:13" x14ac:dyDescent="0.3">
      <c r="A318" t="s">
        <v>901</v>
      </c>
      <c r="B318" t="s">
        <v>902</v>
      </c>
      <c r="C318" t="s">
        <v>48</v>
      </c>
      <c r="D318" t="s">
        <v>18</v>
      </c>
      <c r="E318" s="2" t="s">
        <v>903</v>
      </c>
      <c r="F318">
        <v>39</v>
      </c>
      <c r="G318" t="s">
        <v>20</v>
      </c>
      <c r="H318" s="2" t="s">
        <v>183</v>
      </c>
      <c r="I318">
        <v>2</v>
      </c>
      <c r="J318" t="str">
        <f>IF(Table1[[#This Row],[Resolution_Date]]="NA","Unresolved","Resolved")</f>
        <v>Resolved</v>
      </c>
      <c r="K318">
        <f>IF(Table1[[#This Row],[Resolution_Date]]="NA"," ",Table1[[#This Row],[Resolution_Date]]-Table1[[#This Row],[Complaint_Date]])</f>
        <v>1</v>
      </c>
      <c r="L318" t="str">
        <f>TEXT(Table1[[#This Row],[Complaint_Date]],"MMM")</f>
        <v>Feb</v>
      </c>
      <c r="M318" t="str">
        <f>IF(Table1[[#This Row],[Resolution_Time_Hours]]&lt;=24,"Fast",IF(Table1[[#This Row],[Resolution_Time_Hours]]&lt;=72,"Medium","Slow"))</f>
        <v>Medium</v>
      </c>
    </row>
    <row r="319" spans="1:13" x14ac:dyDescent="0.3">
      <c r="A319" t="s">
        <v>904</v>
      </c>
      <c r="B319" t="s">
        <v>905</v>
      </c>
      <c r="C319" t="s">
        <v>17</v>
      </c>
      <c r="D319" t="s">
        <v>18</v>
      </c>
      <c r="E319" s="2" t="s">
        <v>906</v>
      </c>
      <c r="F319">
        <v>25</v>
      </c>
      <c r="G319" t="s">
        <v>20</v>
      </c>
      <c r="H319" s="2" t="s">
        <v>386</v>
      </c>
      <c r="I319">
        <v>2</v>
      </c>
      <c r="J319" t="str">
        <f>IF(Table1[[#This Row],[Resolution_Date]]="NA","Unresolved","Resolved")</f>
        <v>Resolved</v>
      </c>
      <c r="K319">
        <f>IF(Table1[[#This Row],[Resolution_Date]]="NA"," ",Table1[[#This Row],[Resolution_Date]]-Table1[[#This Row],[Complaint_Date]])</f>
        <v>1</v>
      </c>
      <c r="L319" t="str">
        <f>TEXT(Table1[[#This Row],[Complaint_Date]],"MMM")</f>
        <v>Jul</v>
      </c>
      <c r="M319" t="str">
        <f>IF(Table1[[#This Row],[Resolution_Time_Hours]]&lt;=24,"Fast",IF(Table1[[#This Row],[Resolution_Time_Hours]]&lt;=72,"Medium","Slow"))</f>
        <v>Medium</v>
      </c>
    </row>
    <row r="320" spans="1:13" x14ac:dyDescent="0.3">
      <c r="A320" t="s">
        <v>907</v>
      </c>
      <c r="B320" t="s">
        <v>908</v>
      </c>
      <c r="C320" t="s">
        <v>34</v>
      </c>
      <c r="D320" t="s">
        <v>18</v>
      </c>
      <c r="E320" s="2" t="s">
        <v>96</v>
      </c>
      <c r="F320">
        <v>80</v>
      </c>
      <c r="G320" t="s">
        <v>20</v>
      </c>
      <c r="H320" s="2" t="s">
        <v>250</v>
      </c>
      <c r="I320">
        <v>1</v>
      </c>
      <c r="J320" t="str">
        <f>IF(Table1[[#This Row],[Resolution_Date]]="NA","Unresolved","Resolved")</f>
        <v>Resolved</v>
      </c>
      <c r="K320">
        <f>IF(Table1[[#This Row],[Resolution_Date]]="NA"," ",Table1[[#This Row],[Resolution_Date]]-Table1[[#This Row],[Complaint_Date]])</f>
        <v>3</v>
      </c>
      <c r="L320" t="str">
        <f>TEXT(Table1[[#This Row],[Complaint_Date]],"MMM")</f>
        <v>Feb</v>
      </c>
      <c r="M320" t="str">
        <f>IF(Table1[[#This Row],[Resolution_Time_Hours]]&lt;=24,"Fast",IF(Table1[[#This Row],[Resolution_Time_Hours]]&lt;=72,"Medium","Slow"))</f>
        <v>Slow</v>
      </c>
    </row>
    <row r="321" spans="1:13" x14ac:dyDescent="0.3">
      <c r="A321" t="s">
        <v>909</v>
      </c>
      <c r="B321" t="s">
        <v>910</v>
      </c>
      <c r="C321" t="s">
        <v>34</v>
      </c>
      <c r="D321" t="s">
        <v>27</v>
      </c>
      <c r="E321" s="2" t="s">
        <v>911</v>
      </c>
      <c r="F321">
        <v>69</v>
      </c>
      <c r="G321" t="s">
        <v>20</v>
      </c>
      <c r="H321" s="2" t="s">
        <v>912</v>
      </c>
      <c r="I321">
        <v>1</v>
      </c>
      <c r="J321" t="str">
        <f>IF(Table1[[#This Row],[Resolution_Date]]="NA","Unresolved","Resolved")</f>
        <v>Resolved</v>
      </c>
      <c r="K321">
        <f>IF(Table1[[#This Row],[Resolution_Date]]="NA"," ",Table1[[#This Row],[Resolution_Date]]-Table1[[#This Row],[Complaint_Date]])</f>
        <v>2</v>
      </c>
      <c r="L321" t="str">
        <f>TEXT(Table1[[#This Row],[Complaint_Date]],"MMM")</f>
        <v>Apr</v>
      </c>
      <c r="M321" t="str">
        <f>IF(Table1[[#This Row],[Resolution_Time_Hours]]&lt;=24,"Fast",IF(Table1[[#This Row],[Resolution_Time_Hours]]&lt;=72,"Medium","Slow"))</f>
        <v>Medium</v>
      </c>
    </row>
    <row r="322" spans="1:13" x14ac:dyDescent="0.3">
      <c r="A322" t="s">
        <v>913</v>
      </c>
      <c r="B322" t="s">
        <v>914</v>
      </c>
      <c r="C322" t="s">
        <v>43</v>
      </c>
      <c r="D322" t="s">
        <v>12</v>
      </c>
      <c r="E322" s="2" t="s">
        <v>915</v>
      </c>
      <c r="F322">
        <v>19</v>
      </c>
      <c r="G322" t="s">
        <v>14</v>
      </c>
      <c r="H322" s="2" t="s">
        <v>2820</v>
      </c>
      <c r="J322" t="str">
        <f>IF(Table1[[#This Row],[Resolution_Date]]="NA","Unresolved","Resolved")</f>
        <v>Unresolved</v>
      </c>
      <c r="K322" t="str">
        <f>IF(Table1[[#This Row],[Resolution_Date]]="NA"," ",Table1[[#This Row],[Resolution_Date]]-Table1[[#This Row],[Complaint_Date]])</f>
        <v xml:space="preserve"> </v>
      </c>
      <c r="L322" t="str">
        <f>TEXT(Table1[[#This Row],[Complaint_Date]],"MMM")</f>
        <v>Feb</v>
      </c>
      <c r="M322" t="str">
        <f>IF(Table1[[#This Row],[Resolution_Time_Hours]]&lt;=24,"Fast",IF(Table1[[#This Row],[Resolution_Time_Hours]]&lt;=72,"Medium","Slow"))</f>
        <v>Fast</v>
      </c>
    </row>
    <row r="323" spans="1:13" x14ac:dyDescent="0.3">
      <c r="A323" t="s">
        <v>916</v>
      </c>
      <c r="B323" t="s">
        <v>917</v>
      </c>
      <c r="C323" t="s">
        <v>34</v>
      </c>
      <c r="D323" t="s">
        <v>12</v>
      </c>
      <c r="E323" s="2" t="s">
        <v>918</v>
      </c>
      <c r="F323">
        <v>25</v>
      </c>
      <c r="G323" t="s">
        <v>20</v>
      </c>
      <c r="H323" s="2" t="s">
        <v>339</v>
      </c>
      <c r="I323">
        <v>2</v>
      </c>
      <c r="J323" t="str">
        <f>IF(Table1[[#This Row],[Resolution_Date]]="NA","Unresolved","Resolved")</f>
        <v>Resolved</v>
      </c>
      <c r="K323">
        <f>IF(Table1[[#This Row],[Resolution_Date]]="NA"," ",Table1[[#This Row],[Resolution_Date]]-Table1[[#This Row],[Complaint_Date]])</f>
        <v>1</v>
      </c>
      <c r="L323" t="str">
        <f>TEXT(Table1[[#This Row],[Complaint_Date]],"MMM")</f>
        <v>Apr</v>
      </c>
      <c r="M323" t="str">
        <f>IF(Table1[[#This Row],[Resolution_Time_Hours]]&lt;=24,"Fast",IF(Table1[[#This Row],[Resolution_Time_Hours]]&lt;=72,"Medium","Slow"))</f>
        <v>Medium</v>
      </c>
    </row>
    <row r="324" spans="1:13" x14ac:dyDescent="0.3">
      <c r="A324" t="s">
        <v>919</v>
      </c>
      <c r="B324" t="s">
        <v>920</v>
      </c>
      <c r="C324" t="s">
        <v>70</v>
      </c>
      <c r="D324" t="s">
        <v>12</v>
      </c>
      <c r="E324" s="2" t="s">
        <v>921</v>
      </c>
      <c r="F324">
        <v>2</v>
      </c>
      <c r="G324" t="s">
        <v>20</v>
      </c>
      <c r="H324" s="2" t="s">
        <v>921</v>
      </c>
      <c r="I324">
        <v>5</v>
      </c>
      <c r="J324" t="str">
        <f>IF(Table1[[#This Row],[Resolution_Date]]="NA","Unresolved","Resolved")</f>
        <v>Resolved</v>
      </c>
      <c r="K324">
        <f>IF(Table1[[#This Row],[Resolution_Date]]="NA"," ",Table1[[#This Row],[Resolution_Date]]-Table1[[#This Row],[Complaint_Date]])</f>
        <v>0</v>
      </c>
      <c r="L324" t="str">
        <f>TEXT(Table1[[#This Row],[Complaint_Date]],"MMM")</f>
        <v>Dec</v>
      </c>
      <c r="M324" t="str">
        <f>IF(Table1[[#This Row],[Resolution_Time_Hours]]&lt;=24,"Fast",IF(Table1[[#This Row],[Resolution_Time_Hours]]&lt;=72,"Medium","Slow"))</f>
        <v>Fast</v>
      </c>
    </row>
    <row r="325" spans="1:13" x14ac:dyDescent="0.3">
      <c r="A325" t="s">
        <v>922</v>
      </c>
      <c r="B325" t="s">
        <v>923</v>
      </c>
      <c r="C325" t="s">
        <v>17</v>
      </c>
      <c r="D325" t="s">
        <v>12</v>
      </c>
      <c r="E325" s="2" t="s">
        <v>823</v>
      </c>
      <c r="F325">
        <v>11</v>
      </c>
      <c r="G325" t="s">
        <v>20</v>
      </c>
      <c r="H325" s="2" t="s">
        <v>823</v>
      </c>
      <c r="I325">
        <v>4</v>
      </c>
      <c r="J325" t="str">
        <f>IF(Table1[[#This Row],[Resolution_Date]]="NA","Unresolved","Resolved")</f>
        <v>Resolved</v>
      </c>
      <c r="K325">
        <f>IF(Table1[[#This Row],[Resolution_Date]]="NA"," ",Table1[[#This Row],[Resolution_Date]]-Table1[[#This Row],[Complaint_Date]])</f>
        <v>0</v>
      </c>
      <c r="L325" t="str">
        <f>TEXT(Table1[[#This Row],[Complaint_Date]],"MMM")</f>
        <v>May</v>
      </c>
      <c r="M325" t="str">
        <f>IF(Table1[[#This Row],[Resolution_Time_Hours]]&lt;=24,"Fast",IF(Table1[[#This Row],[Resolution_Time_Hours]]&lt;=72,"Medium","Slow"))</f>
        <v>Fast</v>
      </c>
    </row>
    <row r="326" spans="1:13" x14ac:dyDescent="0.3">
      <c r="A326" t="s">
        <v>924</v>
      </c>
      <c r="B326" t="s">
        <v>925</v>
      </c>
      <c r="C326" t="s">
        <v>70</v>
      </c>
      <c r="D326" t="s">
        <v>27</v>
      </c>
      <c r="E326" s="2" t="s">
        <v>926</v>
      </c>
      <c r="F326">
        <v>15</v>
      </c>
      <c r="G326" t="s">
        <v>20</v>
      </c>
      <c r="H326" s="2" t="s">
        <v>926</v>
      </c>
      <c r="I326">
        <v>3</v>
      </c>
      <c r="J326" t="str">
        <f>IF(Table1[[#This Row],[Resolution_Date]]="NA","Unresolved","Resolved")</f>
        <v>Resolved</v>
      </c>
      <c r="K326">
        <f>IF(Table1[[#This Row],[Resolution_Date]]="NA"," ",Table1[[#This Row],[Resolution_Date]]-Table1[[#This Row],[Complaint_Date]])</f>
        <v>0</v>
      </c>
      <c r="L326" t="str">
        <f>TEXT(Table1[[#This Row],[Complaint_Date]],"MMM")</f>
        <v>Nov</v>
      </c>
      <c r="M326" t="str">
        <f>IF(Table1[[#This Row],[Resolution_Time_Hours]]&lt;=24,"Fast",IF(Table1[[#This Row],[Resolution_Time_Hours]]&lt;=72,"Medium","Slow"))</f>
        <v>Fast</v>
      </c>
    </row>
    <row r="327" spans="1:13" x14ac:dyDescent="0.3">
      <c r="A327" t="s">
        <v>927</v>
      </c>
      <c r="B327" t="s">
        <v>928</v>
      </c>
      <c r="C327" t="s">
        <v>70</v>
      </c>
      <c r="D327" t="s">
        <v>12</v>
      </c>
      <c r="E327" s="2" t="s">
        <v>767</v>
      </c>
      <c r="F327">
        <v>8</v>
      </c>
      <c r="G327" t="s">
        <v>14</v>
      </c>
      <c r="H327" s="2" t="s">
        <v>2820</v>
      </c>
      <c r="J327" t="str">
        <f>IF(Table1[[#This Row],[Resolution_Date]]="NA","Unresolved","Resolved")</f>
        <v>Unresolved</v>
      </c>
      <c r="K327" t="str">
        <f>IF(Table1[[#This Row],[Resolution_Date]]="NA"," ",Table1[[#This Row],[Resolution_Date]]-Table1[[#This Row],[Complaint_Date]])</f>
        <v xml:space="preserve"> </v>
      </c>
      <c r="L327" t="str">
        <f>TEXT(Table1[[#This Row],[Complaint_Date]],"MMM")</f>
        <v>Oct</v>
      </c>
      <c r="M327" t="str">
        <f>IF(Table1[[#This Row],[Resolution_Time_Hours]]&lt;=24,"Fast",IF(Table1[[#This Row],[Resolution_Time_Hours]]&lt;=72,"Medium","Slow"))</f>
        <v>Fast</v>
      </c>
    </row>
    <row r="328" spans="1:13" x14ac:dyDescent="0.3">
      <c r="A328" t="s">
        <v>929</v>
      </c>
      <c r="B328" t="s">
        <v>930</v>
      </c>
      <c r="C328" t="s">
        <v>11</v>
      </c>
      <c r="D328" t="s">
        <v>38</v>
      </c>
      <c r="E328" s="2" t="s">
        <v>274</v>
      </c>
      <c r="F328">
        <v>8</v>
      </c>
      <c r="G328" t="s">
        <v>20</v>
      </c>
      <c r="H328" s="2" t="s">
        <v>274</v>
      </c>
      <c r="I328">
        <v>4</v>
      </c>
      <c r="J328" t="str">
        <f>IF(Table1[[#This Row],[Resolution_Date]]="NA","Unresolved","Resolved")</f>
        <v>Resolved</v>
      </c>
      <c r="K328">
        <f>IF(Table1[[#This Row],[Resolution_Date]]="NA"," ",Table1[[#This Row],[Resolution_Date]]-Table1[[#This Row],[Complaint_Date]])</f>
        <v>0</v>
      </c>
      <c r="L328" t="str">
        <f>TEXT(Table1[[#This Row],[Complaint_Date]],"MMM")</f>
        <v>Nov</v>
      </c>
      <c r="M328" t="str">
        <f>IF(Table1[[#This Row],[Resolution_Time_Hours]]&lt;=24,"Fast",IF(Table1[[#This Row],[Resolution_Time_Hours]]&lt;=72,"Medium","Slow"))</f>
        <v>Fast</v>
      </c>
    </row>
    <row r="329" spans="1:13" x14ac:dyDescent="0.3">
      <c r="A329" t="s">
        <v>931</v>
      </c>
      <c r="B329" t="s">
        <v>932</v>
      </c>
      <c r="C329" t="s">
        <v>11</v>
      </c>
      <c r="D329" t="s">
        <v>38</v>
      </c>
      <c r="E329" s="2" t="s">
        <v>933</v>
      </c>
      <c r="F329">
        <v>6</v>
      </c>
      <c r="G329" t="s">
        <v>14</v>
      </c>
      <c r="H329" s="2" t="s">
        <v>2820</v>
      </c>
      <c r="J329" t="str">
        <f>IF(Table1[[#This Row],[Resolution_Date]]="NA","Unresolved","Resolved")</f>
        <v>Unresolved</v>
      </c>
      <c r="K329" t="str">
        <f>IF(Table1[[#This Row],[Resolution_Date]]="NA"," ",Table1[[#This Row],[Resolution_Date]]-Table1[[#This Row],[Complaint_Date]])</f>
        <v xml:space="preserve"> </v>
      </c>
      <c r="L329" t="str">
        <f>TEXT(Table1[[#This Row],[Complaint_Date]],"MMM")</f>
        <v>Jan</v>
      </c>
      <c r="M329" t="str">
        <f>IF(Table1[[#This Row],[Resolution_Time_Hours]]&lt;=24,"Fast",IF(Table1[[#This Row],[Resolution_Time_Hours]]&lt;=72,"Medium","Slow"))</f>
        <v>Fast</v>
      </c>
    </row>
    <row r="330" spans="1:13" x14ac:dyDescent="0.3">
      <c r="A330" t="s">
        <v>934</v>
      </c>
      <c r="B330" t="s">
        <v>935</v>
      </c>
      <c r="C330" t="s">
        <v>17</v>
      </c>
      <c r="D330" t="s">
        <v>95</v>
      </c>
      <c r="E330" s="2" t="s">
        <v>936</v>
      </c>
      <c r="F330">
        <v>18</v>
      </c>
      <c r="G330" t="s">
        <v>14</v>
      </c>
      <c r="H330" s="2" t="s">
        <v>2820</v>
      </c>
      <c r="J330" t="str">
        <f>IF(Table1[[#This Row],[Resolution_Date]]="NA","Unresolved","Resolved")</f>
        <v>Unresolved</v>
      </c>
      <c r="K330" t="str">
        <f>IF(Table1[[#This Row],[Resolution_Date]]="NA"," ",Table1[[#This Row],[Resolution_Date]]-Table1[[#This Row],[Complaint_Date]])</f>
        <v xml:space="preserve"> </v>
      </c>
      <c r="L330" t="str">
        <f>TEXT(Table1[[#This Row],[Complaint_Date]],"MMM")</f>
        <v>Feb</v>
      </c>
      <c r="M330" t="str">
        <f>IF(Table1[[#This Row],[Resolution_Time_Hours]]&lt;=24,"Fast",IF(Table1[[#This Row],[Resolution_Time_Hours]]&lt;=72,"Medium","Slow"))</f>
        <v>Fast</v>
      </c>
    </row>
    <row r="331" spans="1:13" x14ac:dyDescent="0.3">
      <c r="A331" t="s">
        <v>937</v>
      </c>
      <c r="B331" t="s">
        <v>938</v>
      </c>
      <c r="C331" t="s">
        <v>110</v>
      </c>
      <c r="D331" t="s">
        <v>12</v>
      </c>
      <c r="E331" s="2" t="s">
        <v>939</v>
      </c>
      <c r="F331">
        <v>20</v>
      </c>
      <c r="G331" t="s">
        <v>20</v>
      </c>
      <c r="H331" s="2" t="s">
        <v>939</v>
      </c>
      <c r="I331">
        <v>3</v>
      </c>
      <c r="J331" t="str">
        <f>IF(Table1[[#This Row],[Resolution_Date]]="NA","Unresolved","Resolved")</f>
        <v>Resolved</v>
      </c>
      <c r="K331">
        <f>IF(Table1[[#This Row],[Resolution_Date]]="NA"," ",Table1[[#This Row],[Resolution_Date]]-Table1[[#This Row],[Complaint_Date]])</f>
        <v>0</v>
      </c>
      <c r="L331" t="str">
        <f>TEXT(Table1[[#This Row],[Complaint_Date]],"MMM")</f>
        <v>Apr</v>
      </c>
      <c r="M331" t="str">
        <f>IF(Table1[[#This Row],[Resolution_Time_Hours]]&lt;=24,"Fast",IF(Table1[[#This Row],[Resolution_Time_Hours]]&lt;=72,"Medium","Slow"))</f>
        <v>Fast</v>
      </c>
    </row>
    <row r="332" spans="1:13" x14ac:dyDescent="0.3">
      <c r="A332" t="s">
        <v>940</v>
      </c>
      <c r="B332" t="s">
        <v>941</v>
      </c>
      <c r="C332" t="s">
        <v>48</v>
      </c>
      <c r="D332" t="s">
        <v>18</v>
      </c>
      <c r="E332" s="2" t="s">
        <v>463</v>
      </c>
      <c r="F332">
        <v>56</v>
      </c>
      <c r="G332" t="s">
        <v>14</v>
      </c>
      <c r="H332" s="2" t="s">
        <v>2820</v>
      </c>
      <c r="J332" t="str">
        <f>IF(Table1[[#This Row],[Resolution_Date]]="NA","Unresolved","Resolved")</f>
        <v>Unresolved</v>
      </c>
      <c r="K332" t="str">
        <f>IF(Table1[[#This Row],[Resolution_Date]]="NA"," ",Table1[[#This Row],[Resolution_Date]]-Table1[[#This Row],[Complaint_Date]])</f>
        <v xml:space="preserve"> </v>
      </c>
      <c r="L332" t="str">
        <f>TEXT(Table1[[#This Row],[Complaint_Date]],"MMM")</f>
        <v>Aug</v>
      </c>
      <c r="M332" t="str">
        <f>IF(Table1[[#This Row],[Resolution_Time_Hours]]&lt;=24,"Fast",IF(Table1[[#This Row],[Resolution_Time_Hours]]&lt;=72,"Medium","Slow"))</f>
        <v>Medium</v>
      </c>
    </row>
    <row r="333" spans="1:13" x14ac:dyDescent="0.3">
      <c r="A333" t="s">
        <v>942</v>
      </c>
      <c r="B333" t="s">
        <v>943</v>
      </c>
      <c r="C333" t="s">
        <v>110</v>
      </c>
      <c r="D333" t="s">
        <v>18</v>
      </c>
      <c r="E333" s="2" t="s">
        <v>944</v>
      </c>
      <c r="F333">
        <v>21</v>
      </c>
      <c r="G333" t="s">
        <v>20</v>
      </c>
      <c r="H333" s="2" t="s">
        <v>944</v>
      </c>
      <c r="I333">
        <v>3</v>
      </c>
      <c r="J333" t="str">
        <f>IF(Table1[[#This Row],[Resolution_Date]]="NA","Unresolved","Resolved")</f>
        <v>Resolved</v>
      </c>
      <c r="K333">
        <f>IF(Table1[[#This Row],[Resolution_Date]]="NA"," ",Table1[[#This Row],[Resolution_Date]]-Table1[[#This Row],[Complaint_Date]])</f>
        <v>0</v>
      </c>
      <c r="L333" t="str">
        <f>TEXT(Table1[[#This Row],[Complaint_Date]],"MMM")</f>
        <v>May</v>
      </c>
      <c r="M333" t="str">
        <f>IF(Table1[[#This Row],[Resolution_Time_Hours]]&lt;=24,"Fast",IF(Table1[[#This Row],[Resolution_Time_Hours]]&lt;=72,"Medium","Slow"))</f>
        <v>Fast</v>
      </c>
    </row>
    <row r="334" spans="1:13" x14ac:dyDescent="0.3">
      <c r="A334" t="s">
        <v>945</v>
      </c>
      <c r="B334" t="s">
        <v>946</v>
      </c>
      <c r="C334" t="s">
        <v>34</v>
      </c>
      <c r="D334" t="s">
        <v>12</v>
      </c>
      <c r="E334" s="2" t="s">
        <v>947</v>
      </c>
      <c r="F334">
        <v>39</v>
      </c>
      <c r="G334" t="s">
        <v>14</v>
      </c>
      <c r="H334" s="2" t="s">
        <v>2820</v>
      </c>
      <c r="J334" t="str">
        <f>IF(Table1[[#This Row],[Resolution_Date]]="NA","Unresolved","Resolved")</f>
        <v>Unresolved</v>
      </c>
      <c r="K334" t="str">
        <f>IF(Table1[[#This Row],[Resolution_Date]]="NA"," ",Table1[[#This Row],[Resolution_Date]]-Table1[[#This Row],[Complaint_Date]])</f>
        <v xml:space="preserve"> </v>
      </c>
      <c r="L334" t="str">
        <f>TEXT(Table1[[#This Row],[Complaint_Date]],"MMM")</f>
        <v>Mar</v>
      </c>
      <c r="M334" t="str">
        <f>IF(Table1[[#This Row],[Resolution_Time_Hours]]&lt;=24,"Fast",IF(Table1[[#This Row],[Resolution_Time_Hours]]&lt;=72,"Medium","Slow"))</f>
        <v>Medium</v>
      </c>
    </row>
    <row r="335" spans="1:13" x14ac:dyDescent="0.3">
      <c r="A335" t="s">
        <v>948</v>
      </c>
      <c r="B335" t="s">
        <v>949</v>
      </c>
      <c r="C335" t="s">
        <v>48</v>
      </c>
      <c r="D335" t="s">
        <v>38</v>
      </c>
      <c r="E335" s="2" t="s">
        <v>492</v>
      </c>
      <c r="F335">
        <v>72</v>
      </c>
      <c r="G335" t="s">
        <v>14</v>
      </c>
      <c r="H335" s="2" t="s">
        <v>2820</v>
      </c>
      <c r="J335" t="str">
        <f>IF(Table1[[#This Row],[Resolution_Date]]="NA","Unresolved","Resolved")</f>
        <v>Unresolved</v>
      </c>
      <c r="K335" t="str">
        <f>IF(Table1[[#This Row],[Resolution_Date]]="NA"," ",Table1[[#This Row],[Resolution_Date]]-Table1[[#This Row],[Complaint_Date]])</f>
        <v xml:space="preserve"> </v>
      </c>
      <c r="L335" t="str">
        <f>TEXT(Table1[[#This Row],[Complaint_Date]],"MMM")</f>
        <v>Oct</v>
      </c>
      <c r="M335" t="str">
        <f>IF(Table1[[#This Row],[Resolution_Time_Hours]]&lt;=24,"Fast",IF(Table1[[#This Row],[Resolution_Time_Hours]]&lt;=72,"Medium","Slow"))</f>
        <v>Medium</v>
      </c>
    </row>
    <row r="336" spans="1:13" x14ac:dyDescent="0.3">
      <c r="A336" t="s">
        <v>950</v>
      </c>
      <c r="B336" t="s">
        <v>951</v>
      </c>
      <c r="C336" t="s">
        <v>70</v>
      </c>
      <c r="D336" t="s">
        <v>27</v>
      </c>
      <c r="E336" s="2" t="s">
        <v>501</v>
      </c>
      <c r="F336">
        <v>12</v>
      </c>
      <c r="G336" t="s">
        <v>20</v>
      </c>
      <c r="H336" s="2" t="s">
        <v>501</v>
      </c>
      <c r="I336">
        <v>4</v>
      </c>
      <c r="J336" t="str">
        <f>IF(Table1[[#This Row],[Resolution_Date]]="NA","Unresolved","Resolved")</f>
        <v>Resolved</v>
      </c>
      <c r="K336">
        <f>IF(Table1[[#This Row],[Resolution_Date]]="NA"," ",Table1[[#This Row],[Resolution_Date]]-Table1[[#This Row],[Complaint_Date]])</f>
        <v>0</v>
      </c>
      <c r="L336" t="str">
        <f>TEXT(Table1[[#This Row],[Complaint_Date]],"MMM")</f>
        <v>Jun</v>
      </c>
      <c r="M336" t="str">
        <f>IF(Table1[[#This Row],[Resolution_Time_Hours]]&lt;=24,"Fast",IF(Table1[[#This Row],[Resolution_Time_Hours]]&lt;=72,"Medium","Slow"))</f>
        <v>Fast</v>
      </c>
    </row>
    <row r="337" spans="1:13" x14ac:dyDescent="0.3">
      <c r="A337" t="s">
        <v>952</v>
      </c>
      <c r="B337" t="s">
        <v>953</v>
      </c>
      <c r="C337" t="s">
        <v>43</v>
      </c>
      <c r="D337" t="s">
        <v>27</v>
      </c>
      <c r="E337" s="2" t="s">
        <v>954</v>
      </c>
      <c r="F337">
        <v>51</v>
      </c>
      <c r="G337" t="s">
        <v>14</v>
      </c>
      <c r="H337" s="2" t="s">
        <v>2820</v>
      </c>
      <c r="J337" t="str">
        <f>IF(Table1[[#This Row],[Resolution_Date]]="NA","Unresolved","Resolved")</f>
        <v>Unresolved</v>
      </c>
      <c r="K337" t="str">
        <f>IF(Table1[[#This Row],[Resolution_Date]]="NA"," ",Table1[[#This Row],[Resolution_Date]]-Table1[[#This Row],[Complaint_Date]])</f>
        <v xml:space="preserve"> </v>
      </c>
      <c r="L337" t="str">
        <f>TEXT(Table1[[#This Row],[Complaint_Date]],"MMM")</f>
        <v>Mar</v>
      </c>
      <c r="M337" t="str">
        <f>IF(Table1[[#This Row],[Resolution_Time_Hours]]&lt;=24,"Fast",IF(Table1[[#This Row],[Resolution_Time_Hours]]&lt;=72,"Medium","Slow"))</f>
        <v>Medium</v>
      </c>
    </row>
    <row r="338" spans="1:13" x14ac:dyDescent="0.3">
      <c r="A338" t="s">
        <v>955</v>
      </c>
      <c r="B338" t="s">
        <v>956</v>
      </c>
      <c r="C338" t="s">
        <v>17</v>
      </c>
      <c r="D338" t="s">
        <v>18</v>
      </c>
      <c r="E338" s="2" t="s">
        <v>136</v>
      </c>
      <c r="F338">
        <v>15</v>
      </c>
      <c r="G338" t="s">
        <v>20</v>
      </c>
      <c r="H338" s="2" t="s">
        <v>136</v>
      </c>
      <c r="I338">
        <v>3</v>
      </c>
      <c r="J338" t="str">
        <f>IF(Table1[[#This Row],[Resolution_Date]]="NA","Unresolved","Resolved")</f>
        <v>Resolved</v>
      </c>
      <c r="K338">
        <f>IF(Table1[[#This Row],[Resolution_Date]]="NA"," ",Table1[[#This Row],[Resolution_Date]]-Table1[[#This Row],[Complaint_Date]])</f>
        <v>0</v>
      </c>
      <c r="L338" t="str">
        <f>TEXT(Table1[[#This Row],[Complaint_Date]],"MMM")</f>
        <v>Mar</v>
      </c>
      <c r="M338" t="str">
        <f>IF(Table1[[#This Row],[Resolution_Time_Hours]]&lt;=24,"Fast",IF(Table1[[#This Row],[Resolution_Time_Hours]]&lt;=72,"Medium","Slow"))</f>
        <v>Fast</v>
      </c>
    </row>
    <row r="339" spans="1:13" x14ac:dyDescent="0.3">
      <c r="A339" t="s">
        <v>957</v>
      </c>
      <c r="B339" t="s">
        <v>958</v>
      </c>
      <c r="C339" t="s">
        <v>11</v>
      </c>
      <c r="D339" t="s">
        <v>95</v>
      </c>
      <c r="E339" s="2" t="s">
        <v>220</v>
      </c>
      <c r="F339">
        <v>23</v>
      </c>
      <c r="G339" t="s">
        <v>20</v>
      </c>
      <c r="H339" s="2" t="s">
        <v>220</v>
      </c>
      <c r="I339">
        <v>3</v>
      </c>
      <c r="J339" t="str">
        <f>IF(Table1[[#This Row],[Resolution_Date]]="NA","Unresolved","Resolved")</f>
        <v>Resolved</v>
      </c>
      <c r="K339">
        <f>IF(Table1[[#This Row],[Resolution_Date]]="NA"," ",Table1[[#This Row],[Resolution_Date]]-Table1[[#This Row],[Complaint_Date]])</f>
        <v>0</v>
      </c>
      <c r="L339" t="str">
        <f>TEXT(Table1[[#This Row],[Complaint_Date]],"MMM")</f>
        <v>Jul</v>
      </c>
      <c r="M339" t="str">
        <f>IF(Table1[[#This Row],[Resolution_Time_Hours]]&lt;=24,"Fast",IF(Table1[[#This Row],[Resolution_Time_Hours]]&lt;=72,"Medium","Slow"))</f>
        <v>Fast</v>
      </c>
    </row>
    <row r="340" spans="1:13" x14ac:dyDescent="0.3">
      <c r="A340" t="s">
        <v>959</v>
      </c>
      <c r="B340" t="s">
        <v>960</v>
      </c>
      <c r="C340" t="s">
        <v>53</v>
      </c>
      <c r="D340" t="s">
        <v>27</v>
      </c>
      <c r="E340" s="2" t="s">
        <v>380</v>
      </c>
      <c r="F340">
        <v>3</v>
      </c>
      <c r="G340" t="s">
        <v>20</v>
      </c>
      <c r="H340" s="2" t="s">
        <v>380</v>
      </c>
      <c r="I340">
        <v>5</v>
      </c>
      <c r="J340" t="str">
        <f>IF(Table1[[#This Row],[Resolution_Date]]="NA","Unresolved","Resolved")</f>
        <v>Resolved</v>
      </c>
      <c r="K340">
        <f>IF(Table1[[#This Row],[Resolution_Date]]="NA"," ",Table1[[#This Row],[Resolution_Date]]-Table1[[#This Row],[Complaint_Date]])</f>
        <v>0</v>
      </c>
      <c r="L340" t="str">
        <f>TEXT(Table1[[#This Row],[Complaint_Date]],"MMM")</f>
        <v>Apr</v>
      </c>
      <c r="M340" t="str">
        <f>IF(Table1[[#This Row],[Resolution_Time_Hours]]&lt;=24,"Fast",IF(Table1[[#This Row],[Resolution_Time_Hours]]&lt;=72,"Medium","Slow"))</f>
        <v>Fast</v>
      </c>
    </row>
    <row r="341" spans="1:13" x14ac:dyDescent="0.3">
      <c r="A341" t="s">
        <v>961</v>
      </c>
      <c r="B341" t="s">
        <v>962</v>
      </c>
      <c r="C341" t="s">
        <v>17</v>
      </c>
      <c r="D341" t="s">
        <v>27</v>
      </c>
      <c r="E341" s="2" t="s">
        <v>832</v>
      </c>
      <c r="F341">
        <v>13</v>
      </c>
      <c r="G341" t="s">
        <v>20</v>
      </c>
      <c r="H341" s="2" t="s">
        <v>832</v>
      </c>
      <c r="I341">
        <v>3</v>
      </c>
      <c r="J341" t="str">
        <f>IF(Table1[[#This Row],[Resolution_Date]]="NA","Unresolved","Resolved")</f>
        <v>Resolved</v>
      </c>
      <c r="K341">
        <f>IF(Table1[[#This Row],[Resolution_Date]]="NA"," ",Table1[[#This Row],[Resolution_Date]]-Table1[[#This Row],[Complaint_Date]])</f>
        <v>0</v>
      </c>
      <c r="L341" t="str">
        <f>TEXT(Table1[[#This Row],[Complaint_Date]],"MMM")</f>
        <v>Aug</v>
      </c>
      <c r="M341" t="str">
        <f>IF(Table1[[#This Row],[Resolution_Time_Hours]]&lt;=24,"Fast",IF(Table1[[#This Row],[Resolution_Time_Hours]]&lt;=72,"Medium","Slow"))</f>
        <v>Fast</v>
      </c>
    </row>
    <row r="342" spans="1:13" x14ac:dyDescent="0.3">
      <c r="A342" t="s">
        <v>963</v>
      </c>
      <c r="B342" t="s">
        <v>964</v>
      </c>
      <c r="C342" t="s">
        <v>17</v>
      </c>
      <c r="D342" t="s">
        <v>38</v>
      </c>
      <c r="E342" s="2" t="s">
        <v>60</v>
      </c>
      <c r="F342">
        <v>21</v>
      </c>
      <c r="G342" t="s">
        <v>40</v>
      </c>
      <c r="H342" s="2" t="s">
        <v>2820</v>
      </c>
      <c r="J342" t="str">
        <f>IF(Table1[[#This Row],[Resolution_Date]]="NA","Unresolved","Resolved")</f>
        <v>Unresolved</v>
      </c>
      <c r="K342" t="str">
        <f>IF(Table1[[#This Row],[Resolution_Date]]="NA"," ",Table1[[#This Row],[Resolution_Date]]-Table1[[#This Row],[Complaint_Date]])</f>
        <v xml:space="preserve"> </v>
      </c>
      <c r="L342" t="str">
        <f>TEXT(Table1[[#This Row],[Complaint_Date]],"MMM")</f>
        <v>Sep</v>
      </c>
      <c r="M342" t="str">
        <f>IF(Table1[[#This Row],[Resolution_Time_Hours]]&lt;=24,"Fast",IF(Table1[[#This Row],[Resolution_Time_Hours]]&lt;=72,"Medium","Slow"))</f>
        <v>Fast</v>
      </c>
    </row>
    <row r="343" spans="1:13" x14ac:dyDescent="0.3">
      <c r="A343" t="s">
        <v>965</v>
      </c>
      <c r="B343" t="s">
        <v>966</v>
      </c>
      <c r="C343" t="s">
        <v>11</v>
      </c>
      <c r="D343" t="s">
        <v>27</v>
      </c>
      <c r="E343" s="2" t="s">
        <v>535</v>
      </c>
      <c r="F343">
        <v>10</v>
      </c>
      <c r="G343" t="s">
        <v>20</v>
      </c>
      <c r="H343" s="2" t="s">
        <v>535</v>
      </c>
      <c r="I343">
        <v>4</v>
      </c>
      <c r="J343" t="str">
        <f>IF(Table1[[#This Row],[Resolution_Date]]="NA","Unresolved","Resolved")</f>
        <v>Resolved</v>
      </c>
      <c r="K343">
        <f>IF(Table1[[#This Row],[Resolution_Date]]="NA"," ",Table1[[#This Row],[Resolution_Date]]-Table1[[#This Row],[Complaint_Date]])</f>
        <v>0</v>
      </c>
      <c r="L343" t="str">
        <f>TEXT(Table1[[#This Row],[Complaint_Date]],"MMM")</f>
        <v>Nov</v>
      </c>
      <c r="M343" t="str">
        <f>IF(Table1[[#This Row],[Resolution_Time_Hours]]&lt;=24,"Fast",IF(Table1[[#This Row],[Resolution_Time_Hours]]&lt;=72,"Medium","Slow"))</f>
        <v>Fast</v>
      </c>
    </row>
    <row r="344" spans="1:13" x14ac:dyDescent="0.3">
      <c r="A344" t="s">
        <v>967</v>
      </c>
      <c r="B344" t="s">
        <v>968</v>
      </c>
      <c r="C344" t="s">
        <v>17</v>
      </c>
      <c r="D344" t="s">
        <v>12</v>
      </c>
      <c r="E344" s="2" t="s">
        <v>969</v>
      </c>
      <c r="F344">
        <v>11</v>
      </c>
      <c r="G344" t="s">
        <v>40</v>
      </c>
      <c r="H344" s="2" t="s">
        <v>2820</v>
      </c>
      <c r="J344" t="str">
        <f>IF(Table1[[#This Row],[Resolution_Date]]="NA","Unresolved","Resolved")</f>
        <v>Unresolved</v>
      </c>
      <c r="K344" t="str">
        <f>IF(Table1[[#This Row],[Resolution_Date]]="NA"," ",Table1[[#This Row],[Resolution_Date]]-Table1[[#This Row],[Complaint_Date]])</f>
        <v xml:space="preserve"> </v>
      </c>
      <c r="L344" t="str">
        <f>TEXT(Table1[[#This Row],[Complaint_Date]],"MMM")</f>
        <v>Aug</v>
      </c>
      <c r="M344" t="str">
        <f>IF(Table1[[#This Row],[Resolution_Time_Hours]]&lt;=24,"Fast",IF(Table1[[#This Row],[Resolution_Time_Hours]]&lt;=72,"Medium","Slow"))</f>
        <v>Fast</v>
      </c>
    </row>
    <row r="345" spans="1:13" x14ac:dyDescent="0.3">
      <c r="A345" t="s">
        <v>970</v>
      </c>
      <c r="B345" t="s">
        <v>971</v>
      </c>
      <c r="C345" t="s">
        <v>53</v>
      </c>
      <c r="D345" t="s">
        <v>12</v>
      </c>
      <c r="E345" s="2" t="s">
        <v>850</v>
      </c>
      <c r="F345">
        <v>5</v>
      </c>
      <c r="G345" t="s">
        <v>20</v>
      </c>
      <c r="H345" s="2" t="s">
        <v>850</v>
      </c>
      <c r="I345">
        <v>5</v>
      </c>
      <c r="J345" t="str">
        <f>IF(Table1[[#This Row],[Resolution_Date]]="NA","Unresolved","Resolved")</f>
        <v>Resolved</v>
      </c>
      <c r="K345">
        <f>IF(Table1[[#This Row],[Resolution_Date]]="NA"," ",Table1[[#This Row],[Resolution_Date]]-Table1[[#This Row],[Complaint_Date]])</f>
        <v>0</v>
      </c>
      <c r="L345" t="str">
        <f>TEXT(Table1[[#This Row],[Complaint_Date]],"MMM")</f>
        <v>Jun</v>
      </c>
      <c r="M345" t="str">
        <f>IF(Table1[[#This Row],[Resolution_Time_Hours]]&lt;=24,"Fast",IF(Table1[[#This Row],[Resolution_Time_Hours]]&lt;=72,"Medium","Slow"))</f>
        <v>Fast</v>
      </c>
    </row>
    <row r="346" spans="1:13" x14ac:dyDescent="0.3">
      <c r="A346" t="s">
        <v>972</v>
      </c>
      <c r="B346" t="s">
        <v>973</v>
      </c>
      <c r="C346" t="s">
        <v>11</v>
      </c>
      <c r="D346" t="s">
        <v>38</v>
      </c>
      <c r="E346" s="2" t="s">
        <v>45</v>
      </c>
      <c r="F346">
        <v>19</v>
      </c>
      <c r="G346" t="s">
        <v>20</v>
      </c>
      <c r="H346" s="2" t="s">
        <v>45</v>
      </c>
      <c r="I346">
        <v>5</v>
      </c>
      <c r="J346" t="str">
        <f>IF(Table1[[#This Row],[Resolution_Date]]="NA","Unresolved","Resolved")</f>
        <v>Resolved</v>
      </c>
      <c r="K346">
        <f>IF(Table1[[#This Row],[Resolution_Date]]="NA"," ",Table1[[#This Row],[Resolution_Date]]-Table1[[#This Row],[Complaint_Date]])</f>
        <v>0</v>
      </c>
      <c r="L346" t="str">
        <f>TEXT(Table1[[#This Row],[Complaint_Date]],"MMM")</f>
        <v>Nov</v>
      </c>
      <c r="M346" t="str">
        <f>IF(Table1[[#This Row],[Resolution_Time_Hours]]&lt;=24,"Fast",IF(Table1[[#This Row],[Resolution_Time_Hours]]&lt;=72,"Medium","Slow"))</f>
        <v>Fast</v>
      </c>
    </row>
    <row r="347" spans="1:13" x14ac:dyDescent="0.3">
      <c r="A347" t="s">
        <v>974</v>
      </c>
      <c r="B347" t="s">
        <v>975</v>
      </c>
      <c r="C347" t="s">
        <v>70</v>
      </c>
      <c r="D347" t="s">
        <v>27</v>
      </c>
      <c r="E347" s="2" t="s">
        <v>86</v>
      </c>
      <c r="F347">
        <v>14</v>
      </c>
      <c r="G347" t="s">
        <v>14</v>
      </c>
      <c r="H347" s="2" t="s">
        <v>2820</v>
      </c>
      <c r="J347" t="str">
        <f>IF(Table1[[#This Row],[Resolution_Date]]="NA","Unresolved","Resolved")</f>
        <v>Unresolved</v>
      </c>
      <c r="K347" t="str">
        <f>IF(Table1[[#This Row],[Resolution_Date]]="NA"," ",Table1[[#This Row],[Resolution_Date]]-Table1[[#This Row],[Complaint_Date]])</f>
        <v xml:space="preserve"> </v>
      </c>
      <c r="L347" t="str">
        <f>TEXT(Table1[[#This Row],[Complaint_Date]],"MMM")</f>
        <v>Mar</v>
      </c>
      <c r="M347" t="str">
        <f>IF(Table1[[#This Row],[Resolution_Time_Hours]]&lt;=24,"Fast",IF(Table1[[#This Row],[Resolution_Time_Hours]]&lt;=72,"Medium","Slow"))</f>
        <v>Fast</v>
      </c>
    </row>
    <row r="348" spans="1:13" x14ac:dyDescent="0.3">
      <c r="A348" t="s">
        <v>976</v>
      </c>
      <c r="B348" t="s">
        <v>977</v>
      </c>
      <c r="C348" t="s">
        <v>48</v>
      </c>
      <c r="D348" t="s">
        <v>18</v>
      </c>
      <c r="E348" s="2" t="s">
        <v>336</v>
      </c>
      <c r="F348">
        <v>61</v>
      </c>
      <c r="G348" t="s">
        <v>40</v>
      </c>
      <c r="H348" s="2" t="s">
        <v>2820</v>
      </c>
      <c r="J348" t="str">
        <f>IF(Table1[[#This Row],[Resolution_Date]]="NA","Unresolved","Resolved")</f>
        <v>Unresolved</v>
      </c>
      <c r="K348" t="str">
        <f>IF(Table1[[#This Row],[Resolution_Date]]="NA"," ",Table1[[#This Row],[Resolution_Date]]-Table1[[#This Row],[Complaint_Date]])</f>
        <v xml:space="preserve"> </v>
      </c>
      <c r="L348" t="str">
        <f>TEXT(Table1[[#This Row],[Complaint_Date]],"MMM")</f>
        <v>Oct</v>
      </c>
      <c r="M348" t="str">
        <f>IF(Table1[[#This Row],[Resolution_Time_Hours]]&lt;=24,"Fast",IF(Table1[[#This Row],[Resolution_Time_Hours]]&lt;=72,"Medium","Slow"))</f>
        <v>Medium</v>
      </c>
    </row>
    <row r="349" spans="1:13" x14ac:dyDescent="0.3">
      <c r="A349" t="s">
        <v>978</v>
      </c>
      <c r="B349" t="s">
        <v>979</v>
      </c>
      <c r="C349" t="s">
        <v>110</v>
      </c>
      <c r="D349" t="s">
        <v>27</v>
      </c>
      <c r="E349" s="2" t="s">
        <v>969</v>
      </c>
      <c r="F349">
        <v>17</v>
      </c>
      <c r="G349" t="s">
        <v>20</v>
      </c>
      <c r="H349" s="2" t="s">
        <v>969</v>
      </c>
      <c r="I349">
        <v>3</v>
      </c>
      <c r="J349" t="str">
        <f>IF(Table1[[#This Row],[Resolution_Date]]="NA","Unresolved","Resolved")</f>
        <v>Resolved</v>
      </c>
      <c r="K349">
        <f>IF(Table1[[#This Row],[Resolution_Date]]="NA"," ",Table1[[#This Row],[Resolution_Date]]-Table1[[#This Row],[Complaint_Date]])</f>
        <v>0</v>
      </c>
      <c r="L349" t="str">
        <f>TEXT(Table1[[#This Row],[Complaint_Date]],"MMM")</f>
        <v>Aug</v>
      </c>
      <c r="M349" t="str">
        <f>IF(Table1[[#This Row],[Resolution_Time_Hours]]&lt;=24,"Fast",IF(Table1[[#This Row],[Resolution_Time_Hours]]&lt;=72,"Medium","Slow"))</f>
        <v>Fast</v>
      </c>
    </row>
    <row r="350" spans="1:13" x14ac:dyDescent="0.3">
      <c r="A350" t="s">
        <v>980</v>
      </c>
      <c r="B350" t="s">
        <v>981</v>
      </c>
      <c r="C350" t="s">
        <v>70</v>
      </c>
      <c r="D350" t="s">
        <v>27</v>
      </c>
      <c r="E350" s="2" t="s">
        <v>782</v>
      </c>
      <c r="F350">
        <v>3</v>
      </c>
      <c r="G350" t="s">
        <v>20</v>
      </c>
      <c r="H350" s="2" t="s">
        <v>782</v>
      </c>
      <c r="I350">
        <v>5</v>
      </c>
      <c r="J350" t="str">
        <f>IF(Table1[[#This Row],[Resolution_Date]]="NA","Unresolved","Resolved")</f>
        <v>Resolved</v>
      </c>
      <c r="K350">
        <f>IF(Table1[[#This Row],[Resolution_Date]]="NA"," ",Table1[[#This Row],[Resolution_Date]]-Table1[[#This Row],[Complaint_Date]])</f>
        <v>0</v>
      </c>
      <c r="L350" t="str">
        <f>TEXT(Table1[[#This Row],[Complaint_Date]],"MMM")</f>
        <v>May</v>
      </c>
      <c r="M350" t="str">
        <f>IF(Table1[[#This Row],[Resolution_Time_Hours]]&lt;=24,"Fast",IF(Table1[[#This Row],[Resolution_Time_Hours]]&lt;=72,"Medium","Slow"))</f>
        <v>Fast</v>
      </c>
    </row>
    <row r="351" spans="1:13" x14ac:dyDescent="0.3">
      <c r="A351" t="s">
        <v>982</v>
      </c>
      <c r="B351" t="s">
        <v>983</v>
      </c>
      <c r="C351" t="s">
        <v>110</v>
      </c>
      <c r="D351" t="s">
        <v>12</v>
      </c>
      <c r="E351" s="2" t="s">
        <v>97</v>
      </c>
      <c r="F351">
        <v>3</v>
      </c>
      <c r="G351" t="s">
        <v>14</v>
      </c>
      <c r="H351" s="2" t="s">
        <v>2820</v>
      </c>
      <c r="J351" t="str">
        <f>IF(Table1[[#This Row],[Resolution_Date]]="NA","Unresolved","Resolved")</f>
        <v>Unresolved</v>
      </c>
      <c r="K351" t="str">
        <f>IF(Table1[[#This Row],[Resolution_Date]]="NA"," ",Table1[[#This Row],[Resolution_Date]]-Table1[[#This Row],[Complaint_Date]])</f>
        <v xml:space="preserve"> </v>
      </c>
      <c r="L351" t="str">
        <f>TEXT(Table1[[#This Row],[Complaint_Date]],"MMM")</f>
        <v>Feb</v>
      </c>
      <c r="M351" t="str">
        <f>IF(Table1[[#This Row],[Resolution_Time_Hours]]&lt;=24,"Fast",IF(Table1[[#This Row],[Resolution_Time_Hours]]&lt;=72,"Medium","Slow"))</f>
        <v>Fast</v>
      </c>
    </row>
    <row r="352" spans="1:13" x14ac:dyDescent="0.3">
      <c r="A352" t="s">
        <v>984</v>
      </c>
      <c r="B352" t="s">
        <v>985</v>
      </c>
      <c r="C352" t="s">
        <v>110</v>
      </c>
      <c r="D352" t="s">
        <v>38</v>
      </c>
      <c r="E352" s="2" t="s">
        <v>420</v>
      </c>
      <c r="F352">
        <v>10</v>
      </c>
      <c r="G352" t="s">
        <v>20</v>
      </c>
      <c r="H352" s="2" t="s">
        <v>420</v>
      </c>
      <c r="I352">
        <v>4</v>
      </c>
      <c r="J352" t="str">
        <f>IF(Table1[[#This Row],[Resolution_Date]]="NA","Unresolved","Resolved")</f>
        <v>Resolved</v>
      </c>
      <c r="K352">
        <f>IF(Table1[[#This Row],[Resolution_Date]]="NA"," ",Table1[[#This Row],[Resolution_Date]]-Table1[[#This Row],[Complaint_Date]])</f>
        <v>0</v>
      </c>
      <c r="L352" t="str">
        <f>TEXT(Table1[[#This Row],[Complaint_Date]],"MMM")</f>
        <v>Mar</v>
      </c>
      <c r="M352" t="str">
        <f>IF(Table1[[#This Row],[Resolution_Time_Hours]]&lt;=24,"Fast",IF(Table1[[#This Row],[Resolution_Time_Hours]]&lt;=72,"Medium","Slow"))</f>
        <v>Fast</v>
      </c>
    </row>
    <row r="353" spans="1:13" x14ac:dyDescent="0.3">
      <c r="A353" t="s">
        <v>986</v>
      </c>
      <c r="B353" t="s">
        <v>987</v>
      </c>
      <c r="C353" t="s">
        <v>43</v>
      </c>
      <c r="D353" t="s">
        <v>12</v>
      </c>
      <c r="E353" s="2" t="s">
        <v>988</v>
      </c>
      <c r="F353">
        <v>67</v>
      </c>
      <c r="G353" t="s">
        <v>20</v>
      </c>
      <c r="H353" s="2" t="s">
        <v>480</v>
      </c>
      <c r="I353">
        <v>1</v>
      </c>
      <c r="J353" t="str">
        <f>IF(Table1[[#This Row],[Resolution_Date]]="NA","Unresolved","Resolved")</f>
        <v>Resolved</v>
      </c>
      <c r="K353">
        <f>IF(Table1[[#This Row],[Resolution_Date]]="NA"," ",Table1[[#This Row],[Resolution_Date]]-Table1[[#This Row],[Complaint_Date]])</f>
        <v>2</v>
      </c>
      <c r="L353" t="str">
        <f>TEXT(Table1[[#This Row],[Complaint_Date]],"MMM")</f>
        <v>Sep</v>
      </c>
      <c r="M353" t="str">
        <f>IF(Table1[[#This Row],[Resolution_Time_Hours]]&lt;=24,"Fast",IF(Table1[[#This Row],[Resolution_Time_Hours]]&lt;=72,"Medium","Slow"))</f>
        <v>Medium</v>
      </c>
    </row>
    <row r="354" spans="1:13" x14ac:dyDescent="0.3">
      <c r="A354" t="s">
        <v>989</v>
      </c>
      <c r="B354" t="s">
        <v>990</v>
      </c>
      <c r="C354" t="s">
        <v>34</v>
      </c>
      <c r="D354" t="s">
        <v>18</v>
      </c>
      <c r="E354" s="2" t="s">
        <v>419</v>
      </c>
      <c r="F354">
        <v>56</v>
      </c>
      <c r="G354" t="s">
        <v>20</v>
      </c>
      <c r="H354" s="2" t="s">
        <v>991</v>
      </c>
      <c r="I354">
        <v>1</v>
      </c>
      <c r="J354" t="str">
        <f>IF(Table1[[#This Row],[Resolution_Date]]="NA","Unresolved","Resolved")</f>
        <v>Resolved</v>
      </c>
      <c r="K354">
        <f>IF(Table1[[#This Row],[Resolution_Date]]="NA"," ",Table1[[#This Row],[Resolution_Date]]-Table1[[#This Row],[Complaint_Date]])</f>
        <v>2</v>
      </c>
      <c r="L354" t="str">
        <f>TEXT(Table1[[#This Row],[Complaint_Date]],"MMM")</f>
        <v>Mar</v>
      </c>
      <c r="M354" t="str">
        <f>IF(Table1[[#This Row],[Resolution_Time_Hours]]&lt;=24,"Fast",IF(Table1[[#This Row],[Resolution_Time_Hours]]&lt;=72,"Medium","Slow"))</f>
        <v>Medium</v>
      </c>
    </row>
    <row r="355" spans="1:13" x14ac:dyDescent="0.3">
      <c r="A355" t="s">
        <v>992</v>
      </c>
      <c r="B355" t="s">
        <v>993</v>
      </c>
      <c r="C355" t="s">
        <v>43</v>
      </c>
      <c r="D355" t="s">
        <v>27</v>
      </c>
      <c r="E355" s="2" t="s">
        <v>994</v>
      </c>
      <c r="F355">
        <v>52</v>
      </c>
      <c r="G355" t="s">
        <v>20</v>
      </c>
      <c r="H355" s="2" t="s">
        <v>995</v>
      </c>
      <c r="I355">
        <v>1</v>
      </c>
      <c r="J355" t="str">
        <f>IF(Table1[[#This Row],[Resolution_Date]]="NA","Unresolved","Resolved")</f>
        <v>Resolved</v>
      </c>
      <c r="K355">
        <f>IF(Table1[[#This Row],[Resolution_Date]]="NA"," ",Table1[[#This Row],[Resolution_Date]]-Table1[[#This Row],[Complaint_Date]])</f>
        <v>2</v>
      </c>
      <c r="L355" t="str">
        <f>TEXT(Table1[[#This Row],[Complaint_Date]],"MMM")</f>
        <v>Dec</v>
      </c>
      <c r="M355" t="str">
        <f>IF(Table1[[#This Row],[Resolution_Time_Hours]]&lt;=24,"Fast",IF(Table1[[#This Row],[Resolution_Time_Hours]]&lt;=72,"Medium","Slow"))</f>
        <v>Medium</v>
      </c>
    </row>
    <row r="356" spans="1:13" x14ac:dyDescent="0.3">
      <c r="A356" t="s">
        <v>996</v>
      </c>
      <c r="B356" t="s">
        <v>997</v>
      </c>
      <c r="C356" t="s">
        <v>34</v>
      </c>
      <c r="D356" t="s">
        <v>12</v>
      </c>
      <c r="E356" s="2" t="s">
        <v>998</v>
      </c>
      <c r="F356">
        <v>55</v>
      </c>
      <c r="G356" t="s">
        <v>20</v>
      </c>
      <c r="H356" s="2" t="s">
        <v>100</v>
      </c>
      <c r="I356">
        <v>1</v>
      </c>
      <c r="J356" t="str">
        <f>IF(Table1[[#This Row],[Resolution_Date]]="NA","Unresolved","Resolved")</f>
        <v>Resolved</v>
      </c>
      <c r="K356">
        <f>IF(Table1[[#This Row],[Resolution_Date]]="NA"," ",Table1[[#This Row],[Resolution_Date]]-Table1[[#This Row],[Complaint_Date]])</f>
        <v>2</v>
      </c>
      <c r="L356" t="str">
        <f>TEXT(Table1[[#This Row],[Complaint_Date]],"MMM")</f>
        <v>Jan</v>
      </c>
      <c r="M356" t="str">
        <f>IF(Table1[[#This Row],[Resolution_Time_Hours]]&lt;=24,"Fast",IF(Table1[[#This Row],[Resolution_Time_Hours]]&lt;=72,"Medium","Slow"))</f>
        <v>Medium</v>
      </c>
    </row>
    <row r="357" spans="1:13" x14ac:dyDescent="0.3">
      <c r="A357" t="s">
        <v>999</v>
      </c>
      <c r="B357" t="s">
        <v>1000</v>
      </c>
      <c r="C357" t="s">
        <v>17</v>
      </c>
      <c r="D357" t="s">
        <v>18</v>
      </c>
      <c r="E357" s="2" t="s">
        <v>969</v>
      </c>
      <c r="F357">
        <v>17</v>
      </c>
      <c r="G357" t="s">
        <v>20</v>
      </c>
      <c r="H357" s="2" t="s">
        <v>969</v>
      </c>
      <c r="I357">
        <v>3</v>
      </c>
      <c r="J357" t="str">
        <f>IF(Table1[[#This Row],[Resolution_Date]]="NA","Unresolved","Resolved")</f>
        <v>Resolved</v>
      </c>
      <c r="K357">
        <f>IF(Table1[[#This Row],[Resolution_Date]]="NA"," ",Table1[[#This Row],[Resolution_Date]]-Table1[[#This Row],[Complaint_Date]])</f>
        <v>0</v>
      </c>
      <c r="L357" t="str">
        <f>TEXT(Table1[[#This Row],[Complaint_Date]],"MMM")</f>
        <v>Aug</v>
      </c>
      <c r="M357" t="str">
        <f>IF(Table1[[#This Row],[Resolution_Time_Hours]]&lt;=24,"Fast",IF(Table1[[#This Row],[Resolution_Time_Hours]]&lt;=72,"Medium","Slow"))</f>
        <v>Fast</v>
      </c>
    </row>
    <row r="358" spans="1:13" x14ac:dyDescent="0.3">
      <c r="A358" t="s">
        <v>1001</v>
      </c>
      <c r="B358" t="s">
        <v>1002</v>
      </c>
      <c r="C358" t="s">
        <v>17</v>
      </c>
      <c r="D358" t="s">
        <v>12</v>
      </c>
      <c r="E358" s="2" t="s">
        <v>428</v>
      </c>
      <c r="F358">
        <v>26</v>
      </c>
      <c r="G358" t="s">
        <v>20</v>
      </c>
      <c r="H358" s="2" t="s">
        <v>180</v>
      </c>
      <c r="I358">
        <v>2</v>
      </c>
      <c r="J358" t="str">
        <f>IF(Table1[[#This Row],[Resolution_Date]]="NA","Unresolved","Resolved")</f>
        <v>Resolved</v>
      </c>
      <c r="K358">
        <f>IF(Table1[[#This Row],[Resolution_Date]]="NA"," ",Table1[[#This Row],[Resolution_Date]]-Table1[[#This Row],[Complaint_Date]])</f>
        <v>1</v>
      </c>
      <c r="L358" t="str">
        <f>TEXT(Table1[[#This Row],[Complaint_Date]],"MMM")</f>
        <v>Apr</v>
      </c>
      <c r="M358" t="str">
        <f>IF(Table1[[#This Row],[Resolution_Time_Hours]]&lt;=24,"Fast",IF(Table1[[#This Row],[Resolution_Time_Hours]]&lt;=72,"Medium","Slow"))</f>
        <v>Medium</v>
      </c>
    </row>
    <row r="359" spans="1:13" x14ac:dyDescent="0.3">
      <c r="A359" t="s">
        <v>1003</v>
      </c>
      <c r="B359" t="s">
        <v>1004</v>
      </c>
      <c r="C359" t="s">
        <v>53</v>
      </c>
      <c r="D359" t="s">
        <v>12</v>
      </c>
      <c r="E359" s="2" t="s">
        <v>420</v>
      </c>
      <c r="F359">
        <v>12</v>
      </c>
      <c r="G359" t="s">
        <v>20</v>
      </c>
      <c r="H359" s="2" t="s">
        <v>420</v>
      </c>
      <c r="I359">
        <v>4</v>
      </c>
      <c r="J359" t="str">
        <f>IF(Table1[[#This Row],[Resolution_Date]]="NA","Unresolved","Resolved")</f>
        <v>Resolved</v>
      </c>
      <c r="K359">
        <f>IF(Table1[[#This Row],[Resolution_Date]]="NA"," ",Table1[[#This Row],[Resolution_Date]]-Table1[[#This Row],[Complaint_Date]])</f>
        <v>0</v>
      </c>
      <c r="L359" t="str">
        <f>TEXT(Table1[[#This Row],[Complaint_Date]],"MMM")</f>
        <v>Mar</v>
      </c>
      <c r="M359" t="str">
        <f>IF(Table1[[#This Row],[Resolution_Time_Hours]]&lt;=24,"Fast",IF(Table1[[#This Row],[Resolution_Time_Hours]]&lt;=72,"Medium","Slow"))</f>
        <v>Fast</v>
      </c>
    </row>
    <row r="360" spans="1:13" x14ac:dyDescent="0.3">
      <c r="A360" t="s">
        <v>1005</v>
      </c>
      <c r="B360" t="s">
        <v>1006</v>
      </c>
      <c r="C360" t="s">
        <v>34</v>
      </c>
      <c r="D360" t="s">
        <v>95</v>
      </c>
      <c r="E360" s="2" t="s">
        <v>405</v>
      </c>
      <c r="F360">
        <v>87</v>
      </c>
      <c r="G360" t="s">
        <v>14</v>
      </c>
      <c r="H360" s="2" t="s">
        <v>2820</v>
      </c>
      <c r="J360" t="str">
        <f>IF(Table1[[#This Row],[Resolution_Date]]="NA","Unresolved","Resolved")</f>
        <v>Unresolved</v>
      </c>
      <c r="K360" t="str">
        <f>IF(Table1[[#This Row],[Resolution_Date]]="NA"," ",Table1[[#This Row],[Resolution_Date]]-Table1[[#This Row],[Complaint_Date]])</f>
        <v xml:space="preserve"> </v>
      </c>
      <c r="L360" t="str">
        <f>TEXT(Table1[[#This Row],[Complaint_Date]],"MMM")</f>
        <v>Dec</v>
      </c>
      <c r="M360" t="str">
        <f>IF(Table1[[#This Row],[Resolution_Time_Hours]]&lt;=24,"Fast",IF(Table1[[#This Row],[Resolution_Time_Hours]]&lt;=72,"Medium","Slow"))</f>
        <v>Slow</v>
      </c>
    </row>
    <row r="361" spans="1:13" x14ac:dyDescent="0.3">
      <c r="A361" t="s">
        <v>1007</v>
      </c>
      <c r="B361" t="s">
        <v>1008</v>
      </c>
      <c r="C361" t="s">
        <v>34</v>
      </c>
      <c r="D361" t="s">
        <v>27</v>
      </c>
      <c r="E361" s="2" t="s">
        <v>1009</v>
      </c>
      <c r="F361">
        <v>76</v>
      </c>
      <c r="G361" t="s">
        <v>20</v>
      </c>
      <c r="H361" s="2" t="s">
        <v>1010</v>
      </c>
      <c r="I361">
        <v>5</v>
      </c>
      <c r="J361" t="str">
        <f>IF(Table1[[#This Row],[Resolution_Date]]="NA","Unresolved","Resolved")</f>
        <v>Resolved</v>
      </c>
      <c r="K361">
        <f>IF(Table1[[#This Row],[Resolution_Date]]="NA"," ",Table1[[#This Row],[Resolution_Date]]-Table1[[#This Row],[Complaint_Date]])</f>
        <v>3</v>
      </c>
      <c r="L361" t="str">
        <f>TEXT(Table1[[#This Row],[Complaint_Date]],"MMM")</f>
        <v>Sep</v>
      </c>
      <c r="M361" t="str">
        <f>IF(Table1[[#This Row],[Resolution_Time_Hours]]&lt;=24,"Fast",IF(Table1[[#This Row],[Resolution_Time_Hours]]&lt;=72,"Medium","Slow"))</f>
        <v>Slow</v>
      </c>
    </row>
    <row r="362" spans="1:13" x14ac:dyDescent="0.3">
      <c r="A362" t="s">
        <v>1011</v>
      </c>
      <c r="B362" t="s">
        <v>1012</v>
      </c>
      <c r="C362" t="s">
        <v>34</v>
      </c>
      <c r="D362" t="s">
        <v>12</v>
      </c>
      <c r="E362" s="2" t="s">
        <v>293</v>
      </c>
      <c r="F362">
        <v>32</v>
      </c>
      <c r="G362" t="s">
        <v>40</v>
      </c>
      <c r="H362" s="2" t="s">
        <v>2820</v>
      </c>
      <c r="J362" t="str">
        <f>IF(Table1[[#This Row],[Resolution_Date]]="NA","Unresolved","Resolved")</f>
        <v>Unresolved</v>
      </c>
      <c r="K362" t="str">
        <f>IF(Table1[[#This Row],[Resolution_Date]]="NA"," ",Table1[[#This Row],[Resolution_Date]]-Table1[[#This Row],[Complaint_Date]])</f>
        <v xml:space="preserve"> </v>
      </c>
      <c r="L362" t="str">
        <f>TEXT(Table1[[#This Row],[Complaint_Date]],"MMM")</f>
        <v>Oct</v>
      </c>
      <c r="M362" t="str">
        <f>IF(Table1[[#This Row],[Resolution_Time_Hours]]&lt;=24,"Fast",IF(Table1[[#This Row],[Resolution_Time_Hours]]&lt;=72,"Medium","Slow"))</f>
        <v>Medium</v>
      </c>
    </row>
    <row r="363" spans="1:13" x14ac:dyDescent="0.3">
      <c r="A363" t="s">
        <v>1013</v>
      </c>
      <c r="B363" t="s">
        <v>1014</v>
      </c>
      <c r="C363" t="s">
        <v>43</v>
      </c>
      <c r="D363" t="s">
        <v>38</v>
      </c>
      <c r="E363" s="2" t="s">
        <v>355</v>
      </c>
      <c r="F363">
        <v>26</v>
      </c>
      <c r="G363" t="s">
        <v>20</v>
      </c>
      <c r="H363" s="2" t="s">
        <v>858</v>
      </c>
      <c r="I363">
        <v>2</v>
      </c>
      <c r="J363" t="str">
        <f>IF(Table1[[#This Row],[Resolution_Date]]="NA","Unresolved","Resolved")</f>
        <v>Resolved</v>
      </c>
      <c r="K363">
        <f>IF(Table1[[#This Row],[Resolution_Date]]="NA"," ",Table1[[#This Row],[Resolution_Date]]-Table1[[#This Row],[Complaint_Date]])</f>
        <v>1</v>
      </c>
      <c r="L363" t="str">
        <f>TEXT(Table1[[#This Row],[Complaint_Date]],"MMM")</f>
        <v>May</v>
      </c>
      <c r="M363" t="str">
        <f>IF(Table1[[#This Row],[Resolution_Time_Hours]]&lt;=24,"Fast",IF(Table1[[#This Row],[Resolution_Time_Hours]]&lt;=72,"Medium","Slow"))</f>
        <v>Medium</v>
      </c>
    </row>
    <row r="364" spans="1:13" x14ac:dyDescent="0.3">
      <c r="A364" t="s">
        <v>1015</v>
      </c>
      <c r="B364" t="s">
        <v>1016</v>
      </c>
      <c r="C364" t="s">
        <v>70</v>
      </c>
      <c r="D364" t="s">
        <v>27</v>
      </c>
      <c r="E364" s="2" t="s">
        <v>1017</v>
      </c>
      <c r="F364">
        <v>8</v>
      </c>
      <c r="G364" t="s">
        <v>20</v>
      </c>
      <c r="H364" s="2" t="s">
        <v>1017</v>
      </c>
      <c r="I364">
        <v>4</v>
      </c>
      <c r="J364" t="str">
        <f>IF(Table1[[#This Row],[Resolution_Date]]="NA","Unresolved","Resolved")</f>
        <v>Resolved</v>
      </c>
      <c r="K364">
        <f>IF(Table1[[#This Row],[Resolution_Date]]="NA"," ",Table1[[#This Row],[Resolution_Date]]-Table1[[#This Row],[Complaint_Date]])</f>
        <v>0</v>
      </c>
      <c r="L364" t="str">
        <f>TEXT(Table1[[#This Row],[Complaint_Date]],"MMM")</f>
        <v>Aug</v>
      </c>
      <c r="M364" t="str">
        <f>IF(Table1[[#This Row],[Resolution_Time_Hours]]&lt;=24,"Fast",IF(Table1[[#This Row],[Resolution_Time_Hours]]&lt;=72,"Medium","Slow"))</f>
        <v>Fast</v>
      </c>
    </row>
    <row r="365" spans="1:13" x14ac:dyDescent="0.3">
      <c r="A365" t="s">
        <v>1018</v>
      </c>
      <c r="B365" t="s">
        <v>1019</v>
      </c>
      <c r="C365" t="s">
        <v>53</v>
      </c>
      <c r="D365" t="s">
        <v>18</v>
      </c>
      <c r="E365" s="2" t="s">
        <v>1009</v>
      </c>
      <c r="F365">
        <v>3</v>
      </c>
      <c r="G365" t="s">
        <v>20</v>
      </c>
      <c r="H365" s="2" t="s">
        <v>1009</v>
      </c>
      <c r="I365">
        <v>5</v>
      </c>
      <c r="J365" t="str">
        <f>IF(Table1[[#This Row],[Resolution_Date]]="NA","Unresolved","Resolved")</f>
        <v>Resolved</v>
      </c>
      <c r="K365">
        <f>IF(Table1[[#This Row],[Resolution_Date]]="NA"," ",Table1[[#This Row],[Resolution_Date]]-Table1[[#This Row],[Complaint_Date]])</f>
        <v>0</v>
      </c>
      <c r="L365" t="str">
        <f>TEXT(Table1[[#This Row],[Complaint_Date]],"MMM")</f>
        <v>Sep</v>
      </c>
      <c r="M365" t="str">
        <f>IF(Table1[[#This Row],[Resolution_Time_Hours]]&lt;=24,"Fast",IF(Table1[[#This Row],[Resolution_Time_Hours]]&lt;=72,"Medium","Slow"))</f>
        <v>Fast</v>
      </c>
    </row>
    <row r="366" spans="1:13" x14ac:dyDescent="0.3">
      <c r="A366" t="s">
        <v>1020</v>
      </c>
      <c r="B366" t="s">
        <v>1021</v>
      </c>
      <c r="C366" t="s">
        <v>48</v>
      </c>
      <c r="D366" t="s">
        <v>18</v>
      </c>
      <c r="E366" s="2" t="s">
        <v>423</v>
      </c>
      <c r="F366">
        <v>11</v>
      </c>
      <c r="G366" t="s">
        <v>20</v>
      </c>
      <c r="H366" s="2" t="s">
        <v>423</v>
      </c>
      <c r="I366">
        <v>4</v>
      </c>
      <c r="J366" t="str">
        <f>IF(Table1[[#This Row],[Resolution_Date]]="NA","Unresolved","Resolved")</f>
        <v>Resolved</v>
      </c>
      <c r="K366">
        <f>IF(Table1[[#This Row],[Resolution_Date]]="NA"," ",Table1[[#This Row],[Resolution_Date]]-Table1[[#This Row],[Complaint_Date]])</f>
        <v>0</v>
      </c>
      <c r="L366" t="str">
        <f>TEXT(Table1[[#This Row],[Complaint_Date]],"MMM")</f>
        <v>Apr</v>
      </c>
      <c r="M366" t="str">
        <f>IF(Table1[[#This Row],[Resolution_Time_Hours]]&lt;=24,"Fast",IF(Table1[[#This Row],[Resolution_Time_Hours]]&lt;=72,"Medium","Slow"))</f>
        <v>Fast</v>
      </c>
    </row>
    <row r="367" spans="1:13" x14ac:dyDescent="0.3">
      <c r="A367" t="s">
        <v>1022</v>
      </c>
      <c r="B367" t="s">
        <v>1023</v>
      </c>
      <c r="C367" t="s">
        <v>11</v>
      </c>
      <c r="D367" t="s">
        <v>18</v>
      </c>
      <c r="E367" s="2" t="s">
        <v>855</v>
      </c>
      <c r="F367">
        <v>41</v>
      </c>
      <c r="G367" t="s">
        <v>20</v>
      </c>
      <c r="H367" s="2" t="s">
        <v>1024</v>
      </c>
      <c r="I367">
        <v>2</v>
      </c>
      <c r="J367" t="str">
        <f>IF(Table1[[#This Row],[Resolution_Date]]="NA","Unresolved","Resolved")</f>
        <v>Resolved</v>
      </c>
      <c r="K367">
        <f>IF(Table1[[#This Row],[Resolution_Date]]="NA"," ",Table1[[#This Row],[Resolution_Date]]-Table1[[#This Row],[Complaint_Date]])</f>
        <v>1</v>
      </c>
      <c r="L367" t="str">
        <f>TEXT(Table1[[#This Row],[Complaint_Date]],"MMM")</f>
        <v>Dec</v>
      </c>
      <c r="M367" t="str">
        <f>IF(Table1[[#This Row],[Resolution_Time_Hours]]&lt;=24,"Fast",IF(Table1[[#This Row],[Resolution_Time_Hours]]&lt;=72,"Medium","Slow"))</f>
        <v>Medium</v>
      </c>
    </row>
    <row r="368" spans="1:13" x14ac:dyDescent="0.3">
      <c r="A368" t="s">
        <v>1025</v>
      </c>
      <c r="B368" t="s">
        <v>1026</v>
      </c>
      <c r="C368" t="s">
        <v>43</v>
      </c>
      <c r="D368" t="s">
        <v>18</v>
      </c>
      <c r="E368" s="2" t="s">
        <v>363</v>
      </c>
      <c r="F368">
        <v>20</v>
      </c>
      <c r="G368" t="s">
        <v>40</v>
      </c>
      <c r="H368" s="2" t="s">
        <v>2820</v>
      </c>
      <c r="J368" t="str">
        <f>IF(Table1[[#This Row],[Resolution_Date]]="NA","Unresolved","Resolved")</f>
        <v>Unresolved</v>
      </c>
      <c r="K368" t="str">
        <f>IF(Table1[[#This Row],[Resolution_Date]]="NA"," ",Table1[[#This Row],[Resolution_Date]]-Table1[[#This Row],[Complaint_Date]])</f>
        <v xml:space="preserve"> </v>
      </c>
      <c r="L368" t="str">
        <f>TEXT(Table1[[#This Row],[Complaint_Date]],"MMM")</f>
        <v>Nov</v>
      </c>
      <c r="M368" t="str">
        <f>IF(Table1[[#This Row],[Resolution_Time_Hours]]&lt;=24,"Fast",IF(Table1[[#This Row],[Resolution_Time_Hours]]&lt;=72,"Medium","Slow"))</f>
        <v>Fast</v>
      </c>
    </row>
    <row r="369" spans="1:13" x14ac:dyDescent="0.3">
      <c r="A369" t="s">
        <v>1027</v>
      </c>
      <c r="B369" t="s">
        <v>1028</v>
      </c>
      <c r="C369" t="s">
        <v>110</v>
      </c>
      <c r="D369" t="s">
        <v>27</v>
      </c>
      <c r="E369" s="2" t="s">
        <v>1029</v>
      </c>
      <c r="F369">
        <v>2</v>
      </c>
      <c r="G369" t="s">
        <v>20</v>
      </c>
      <c r="H369" s="2" t="s">
        <v>1029</v>
      </c>
      <c r="I369">
        <v>5</v>
      </c>
      <c r="J369" t="str">
        <f>IF(Table1[[#This Row],[Resolution_Date]]="NA","Unresolved","Resolved")</f>
        <v>Resolved</v>
      </c>
      <c r="K369">
        <f>IF(Table1[[#This Row],[Resolution_Date]]="NA"," ",Table1[[#This Row],[Resolution_Date]]-Table1[[#This Row],[Complaint_Date]])</f>
        <v>0</v>
      </c>
      <c r="L369" t="str">
        <f>TEXT(Table1[[#This Row],[Complaint_Date]],"MMM")</f>
        <v>Nov</v>
      </c>
      <c r="M369" t="str">
        <f>IF(Table1[[#This Row],[Resolution_Time_Hours]]&lt;=24,"Fast",IF(Table1[[#This Row],[Resolution_Time_Hours]]&lt;=72,"Medium","Slow"))</f>
        <v>Fast</v>
      </c>
    </row>
    <row r="370" spans="1:13" x14ac:dyDescent="0.3">
      <c r="A370" t="s">
        <v>1030</v>
      </c>
      <c r="B370" t="s">
        <v>1031</v>
      </c>
      <c r="C370" t="s">
        <v>70</v>
      </c>
      <c r="D370" t="s">
        <v>12</v>
      </c>
      <c r="E370" s="2" t="s">
        <v>855</v>
      </c>
      <c r="F370">
        <v>13</v>
      </c>
      <c r="G370" t="s">
        <v>20</v>
      </c>
      <c r="H370" s="2" t="s">
        <v>855</v>
      </c>
      <c r="I370">
        <v>3</v>
      </c>
      <c r="J370" t="str">
        <f>IF(Table1[[#This Row],[Resolution_Date]]="NA","Unresolved","Resolved")</f>
        <v>Resolved</v>
      </c>
      <c r="K370">
        <f>IF(Table1[[#This Row],[Resolution_Date]]="NA"," ",Table1[[#This Row],[Resolution_Date]]-Table1[[#This Row],[Complaint_Date]])</f>
        <v>0</v>
      </c>
      <c r="L370" t="str">
        <f>TEXT(Table1[[#This Row],[Complaint_Date]],"MMM")</f>
        <v>Dec</v>
      </c>
      <c r="M370" t="str">
        <f>IF(Table1[[#This Row],[Resolution_Time_Hours]]&lt;=24,"Fast",IF(Table1[[#This Row],[Resolution_Time_Hours]]&lt;=72,"Medium","Slow"))</f>
        <v>Fast</v>
      </c>
    </row>
    <row r="371" spans="1:13" x14ac:dyDescent="0.3">
      <c r="A371" t="s">
        <v>1032</v>
      </c>
      <c r="B371" t="s">
        <v>1033</v>
      </c>
      <c r="C371" t="s">
        <v>17</v>
      </c>
      <c r="D371" t="s">
        <v>27</v>
      </c>
      <c r="E371" s="2" t="s">
        <v>256</v>
      </c>
      <c r="F371">
        <v>22</v>
      </c>
      <c r="G371" t="s">
        <v>20</v>
      </c>
      <c r="H371" s="2" t="s">
        <v>256</v>
      </c>
      <c r="I371">
        <v>5</v>
      </c>
      <c r="J371" t="str">
        <f>IF(Table1[[#This Row],[Resolution_Date]]="NA","Unresolved","Resolved")</f>
        <v>Resolved</v>
      </c>
      <c r="K371">
        <f>IF(Table1[[#This Row],[Resolution_Date]]="NA"," ",Table1[[#This Row],[Resolution_Date]]-Table1[[#This Row],[Complaint_Date]])</f>
        <v>0</v>
      </c>
      <c r="L371" t="str">
        <f>TEXT(Table1[[#This Row],[Complaint_Date]],"MMM")</f>
        <v>Feb</v>
      </c>
      <c r="M371" t="str">
        <f>IF(Table1[[#This Row],[Resolution_Time_Hours]]&lt;=24,"Fast",IF(Table1[[#This Row],[Resolution_Time_Hours]]&lt;=72,"Medium","Slow"))</f>
        <v>Fast</v>
      </c>
    </row>
    <row r="372" spans="1:13" x14ac:dyDescent="0.3">
      <c r="A372" t="s">
        <v>1034</v>
      </c>
      <c r="B372" t="s">
        <v>1035</v>
      </c>
      <c r="C372" t="s">
        <v>48</v>
      </c>
      <c r="D372" t="s">
        <v>18</v>
      </c>
      <c r="E372" s="2" t="s">
        <v>514</v>
      </c>
      <c r="F372">
        <v>49</v>
      </c>
      <c r="G372" t="s">
        <v>20</v>
      </c>
      <c r="H372" s="2" t="s">
        <v>549</v>
      </c>
      <c r="I372">
        <v>1</v>
      </c>
      <c r="J372" t="str">
        <f>IF(Table1[[#This Row],[Resolution_Date]]="NA","Unresolved","Resolved")</f>
        <v>Resolved</v>
      </c>
      <c r="K372">
        <f>IF(Table1[[#This Row],[Resolution_Date]]="NA"," ",Table1[[#This Row],[Resolution_Date]]-Table1[[#This Row],[Complaint_Date]])</f>
        <v>2</v>
      </c>
      <c r="L372" t="str">
        <f>TEXT(Table1[[#This Row],[Complaint_Date]],"MMM")</f>
        <v>Jan</v>
      </c>
      <c r="M372" t="str">
        <f>IF(Table1[[#This Row],[Resolution_Time_Hours]]&lt;=24,"Fast",IF(Table1[[#This Row],[Resolution_Time_Hours]]&lt;=72,"Medium","Slow"))</f>
        <v>Medium</v>
      </c>
    </row>
    <row r="373" spans="1:13" x14ac:dyDescent="0.3">
      <c r="A373" t="s">
        <v>1036</v>
      </c>
      <c r="B373" t="s">
        <v>1037</v>
      </c>
      <c r="C373" t="s">
        <v>70</v>
      </c>
      <c r="D373" t="s">
        <v>27</v>
      </c>
      <c r="E373" s="2" t="s">
        <v>563</v>
      </c>
      <c r="F373">
        <v>9</v>
      </c>
      <c r="G373" t="s">
        <v>20</v>
      </c>
      <c r="H373" s="2" t="s">
        <v>563</v>
      </c>
      <c r="I373">
        <v>4</v>
      </c>
      <c r="J373" t="str">
        <f>IF(Table1[[#This Row],[Resolution_Date]]="NA","Unresolved","Resolved")</f>
        <v>Resolved</v>
      </c>
      <c r="K373">
        <f>IF(Table1[[#This Row],[Resolution_Date]]="NA"," ",Table1[[#This Row],[Resolution_Date]]-Table1[[#This Row],[Complaint_Date]])</f>
        <v>0</v>
      </c>
      <c r="L373" t="str">
        <f>TEXT(Table1[[#This Row],[Complaint_Date]],"MMM")</f>
        <v>Jan</v>
      </c>
      <c r="M373" t="str">
        <f>IF(Table1[[#This Row],[Resolution_Time_Hours]]&lt;=24,"Fast",IF(Table1[[#This Row],[Resolution_Time_Hours]]&lt;=72,"Medium","Slow"))</f>
        <v>Fast</v>
      </c>
    </row>
    <row r="374" spans="1:13" x14ac:dyDescent="0.3">
      <c r="A374" t="s">
        <v>1038</v>
      </c>
      <c r="B374" t="s">
        <v>1039</v>
      </c>
      <c r="C374" t="s">
        <v>11</v>
      </c>
      <c r="D374" t="s">
        <v>38</v>
      </c>
      <c r="E374" s="2" t="s">
        <v>160</v>
      </c>
      <c r="F374">
        <v>8</v>
      </c>
      <c r="G374" t="s">
        <v>20</v>
      </c>
      <c r="H374" s="2" t="s">
        <v>160</v>
      </c>
      <c r="I374">
        <v>4</v>
      </c>
      <c r="J374" t="str">
        <f>IF(Table1[[#This Row],[Resolution_Date]]="NA","Unresolved","Resolved")</f>
        <v>Resolved</v>
      </c>
      <c r="K374">
        <f>IF(Table1[[#This Row],[Resolution_Date]]="NA"," ",Table1[[#This Row],[Resolution_Date]]-Table1[[#This Row],[Complaint_Date]])</f>
        <v>0</v>
      </c>
      <c r="L374" t="str">
        <f>TEXT(Table1[[#This Row],[Complaint_Date]],"MMM")</f>
        <v>May</v>
      </c>
      <c r="M374" t="str">
        <f>IF(Table1[[#This Row],[Resolution_Time_Hours]]&lt;=24,"Fast",IF(Table1[[#This Row],[Resolution_Time_Hours]]&lt;=72,"Medium","Slow"))</f>
        <v>Fast</v>
      </c>
    </row>
    <row r="375" spans="1:13" x14ac:dyDescent="0.3">
      <c r="A375" t="s">
        <v>1040</v>
      </c>
      <c r="B375" t="s">
        <v>1041</v>
      </c>
      <c r="C375" t="s">
        <v>34</v>
      </c>
      <c r="D375" t="s">
        <v>27</v>
      </c>
      <c r="E375" s="2" t="s">
        <v>637</v>
      </c>
      <c r="F375">
        <v>33</v>
      </c>
      <c r="G375" t="s">
        <v>20</v>
      </c>
      <c r="H375" s="2" t="s">
        <v>1042</v>
      </c>
      <c r="I375">
        <v>5</v>
      </c>
      <c r="J375" t="str">
        <f>IF(Table1[[#This Row],[Resolution_Date]]="NA","Unresolved","Resolved")</f>
        <v>Resolved</v>
      </c>
      <c r="K375">
        <f>IF(Table1[[#This Row],[Resolution_Date]]="NA"," ",Table1[[#This Row],[Resolution_Date]]-Table1[[#This Row],[Complaint_Date]])</f>
        <v>1</v>
      </c>
      <c r="L375" t="str">
        <f>TEXT(Table1[[#This Row],[Complaint_Date]],"MMM")</f>
        <v>Feb</v>
      </c>
      <c r="M375" t="str">
        <f>IF(Table1[[#This Row],[Resolution_Time_Hours]]&lt;=24,"Fast",IF(Table1[[#This Row],[Resolution_Time_Hours]]&lt;=72,"Medium","Slow"))</f>
        <v>Medium</v>
      </c>
    </row>
    <row r="376" spans="1:13" x14ac:dyDescent="0.3">
      <c r="A376" t="s">
        <v>1043</v>
      </c>
      <c r="B376" t="s">
        <v>1044</v>
      </c>
      <c r="C376" t="s">
        <v>17</v>
      </c>
      <c r="D376" t="s">
        <v>95</v>
      </c>
      <c r="E376" s="2" t="s">
        <v>1045</v>
      </c>
      <c r="F376">
        <v>6</v>
      </c>
      <c r="G376" t="s">
        <v>14</v>
      </c>
      <c r="H376" s="2" t="s">
        <v>2820</v>
      </c>
      <c r="J376" t="str">
        <f>IF(Table1[[#This Row],[Resolution_Date]]="NA","Unresolved","Resolved")</f>
        <v>Unresolved</v>
      </c>
      <c r="K376" t="str">
        <f>IF(Table1[[#This Row],[Resolution_Date]]="NA"," ",Table1[[#This Row],[Resolution_Date]]-Table1[[#This Row],[Complaint_Date]])</f>
        <v xml:space="preserve"> </v>
      </c>
      <c r="L376" t="str">
        <f>TEXT(Table1[[#This Row],[Complaint_Date]],"MMM")</f>
        <v>Apr</v>
      </c>
      <c r="M376" t="str">
        <f>IF(Table1[[#This Row],[Resolution_Time_Hours]]&lt;=24,"Fast",IF(Table1[[#This Row],[Resolution_Time_Hours]]&lt;=72,"Medium","Slow"))</f>
        <v>Fast</v>
      </c>
    </row>
    <row r="377" spans="1:13" x14ac:dyDescent="0.3">
      <c r="A377" t="s">
        <v>1046</v>
      </c>
      <c r="B377" t="s">
        <v>1047</v>
      </c>
      <c r="C377" t="s">
        <v>53</v>
      </c>
      <c r="D377" t="s">
        <v>95</v>
      </c>
      <c r="E377" s="2" t="s">
        <v>1042</v>
      </c>
      <c r="F377">
        <v>4</v>
      </c>
      <c r="G377" t="s">
        <v>20</v>
      </c>
      <c r="H377" s="2" t="s">
        <v>1042</v>
      </c>
      <c r="I377">
        <v>5</v>
      </c>
      <c r="J377" t="str">
        <f>IF(Table1[[#This Row],[Resolution_Date]]="NA","Unresolved","Resolved")</f>
        <v>Resolved</v>
      </c>
      <c r="K377">
        <f>IF(Table1[[#This Row],[Resolution_Date]]="NA"," ",Table1[[#This Row],[Resolution_Date]]-Table1[[#This Row],[Complaint_Date]])</f>
        <v>0</v>
      </c>
      <c r="L377" t="str">
        <f>TEXT(Table1[[#This Row],[Complaint_Date]],"MMM")</f>
        <v>Feb</v>
      </c>
      <c r="M377" t="str">
        <f>IF(Table1[[#This Row],[Resolution_Time_Hours]]&lt;=24,"Fast",IF(Table1[[#This Row],[Resolution_Time_Hours]]&lt;=72,"Medium","Slow"))</f>
        <v>Fast</v>
      </c>
    </row>
    <row r="378" spans="1:13" x14ac:dyDescent="0.3">
      <c r="A378" t="s">
        <v>1048</v>
      </c>
      <c r="B378" t="s">
        <v>1049</v>
      </c>
      <c r="C378" t="s">
        <v>48</v>
      </c>
      <c r="D378" t="s">
        <v>38</v>
      </c>
      <c r="E378" s="2" t="s">
        <v>366</v>
      </c>
      <c r="F378">
        <v>15</v>
      </c>
      <c r="G378" t="s">
        <v>20</v>
      </c>
      <c r="H378" s="2" t="s">
        <v>366</v>
      </c>
      <c r="I378">
        <v>3</v>
      </c>
      <c r="J378" t="str">
        <f>IF(Table1[[#This Row],[Resolution_Date]]="NA","Unresolved","Resolved")</f>
        <v>Resolved</v>
      </c>
      <c r="K378">
        <f>IF(Table1[[#This Row],[Resolution_Date]]="NA"," ",Table1[[#This Row],[Resolution_Date]]-Table1[[#This Row],[Complaint_Date]])</f>
        <v>0</v>
      </c>
      <c r="L378" t="str">
        <f>TEXT(Table1[[#This Row],[Complaint_Date]],"MMM")</f>
        <v>Aug</v>
      </c>
      <c r="M378" t="str">
        <f>IF(Table1[[#This Row],[Resolution_Time_Hours]]&lt;=24,"Fast",IF(Table1[[#This Row],[Resolution_Time_Hours]]&lt;=72,"Medium","Slow"))</f>
        <v>Fast</v>
      </c>
    </row>
    <row r="379" spans="1:13" x14ac:dyDescent="0.3">
      <c r="A379" t="s">
        <v>1050</v>
      </c>
      <c r="B379" t="s">
        <v>1051</v>
      </c>
      <c r="C379" t="s">
        <v>43</v>
      </c>
      <c r="D379" t="s">
        <v>38</v>
      </c>
      <c r="E379" s="2" t="s">
        <v>398</v>
      </c>
      <c r="F379">
        <v>17</v>
      </c>
      <c r="G379" t="s">
        <v>20</v>
      </c>
      <c r="H379" s="2" t="s">
        <v>398</v>
      </c>
      <c r="I379">
        <v>3</v>
      </c>
      <c r="J379" t="str">
        <f>IF(Table1[[#This Row],[Resolution_Date]]="NA","Unresolved","Resolved")</f>
        <v>Resolved</v>
      </c>
      <c r="K379">
        <f>IF(Table1[[#This Row],[Resolution_Date]]="NA"," ",Table1[[#This Row],[Resolution_Date]]-Table1[[#This Row],[Complaint_Date]])</f>
        <v>0</v>
      </c>
      <c r="L379" t="str">
        <f>TEXT(Table1[[#This Row],[Complaint_Date]],"MMM")</f>
        <v>Oct</v>
      </c>
      <c r="M379" t="str">
        <f>IF(Table1[[#This Row],[Resolution_Time_Hours]]&lt;=24,"Fast",IF(Table1[[#This Row],[Resolution_Time_Hours]]&lt;=72,"Medium","Slow"))</f>
        <v>Fast</v>
      </c>
    </row>
    <row r="380" spans="1:13" x14ac:dyDescent="0.3">
      <c r="A380" t="s">
        <v>1052</v>
      </c>
      <c r="B380" t="s">
        <v>1053</v>
      </c>
      <c r="C380" t="s">
        <v>43</v>
      </c>
      <c r="D380" t="s">
        <v>12</v>
      </c>
      <c r="E380" s="2" t="s">
        <v>563</v>
      </c>
      <c r="F380">
        <v>29</v>
      </c>
      <c r="G380" t="s">
        <v>20</v>
      </c>
      <c r="H380" s="2" t="s">
        <v>998</v>
      </c>
      <c r="I380">
        <v>2</v>
      </c>
      <c r="J380" t="str">
        <f>IF(Table1[[#This Row],[Resolution_Date]]="NA","Unresolved","Resolved")</f>
        <v>Resolved</v>
      </c>
      <c r="K380">
        <f>IF(Table1[[#This Row],[Resolution_Date]]="NA"," ",Table1[[#This Row],[Resolution_Date]]-Table1[[#This Row],[Complaint_Date]])</f>
        <v>1</v>
      </c>
      <c r="L380" t="str">
        <f>TEXT(Table1[[#This Row],[Complaint_Date]],"MMM")</f>
        <v>Jan</v>
      </c>
      <c r="M380" t="str">
        <f>IF(Table1[[#This Row],[Resolution_Time_Hours]]&lt;=24,"Fast",IF(Table1[[#This Row],[Resolution_Time_Hours]]&lt;=72,"Medium","Slow"))</f>
        <v>Medium</v>
      </c>
    </row>
    <row r="381" spans="1:13" x14ac:dyDescent="0.3">
      <c r="A381" t="s">
        <v>1054</v>
      </c>
      <c r="B381" t="s">
        <v>1055</v>
      </c>
      <c r="C381" t="s">
        <v>11</v>
      </c>
      <c r="D381" t="s">
        <v>18</v>
      </c>
      <c r="E381" s="2" t="s">
        <v>555</v>
      </c>
      <c r="F381">
        <v>14</v>
      </c>
      <c r="G381" t="s">
        <v>20</v>
      </c>
      <c r="H381" s="2" t="s">
        <v>555</v>
      </c>
      <c r="I381">
        <v>3</v>
      </c>
      <c r="J381" t="str">
        <f>IF(Table1[[#This Row],[Resolution_Date]]="NA","Unresolved","Resolved")</f>
        <v>Resolved</v>
      </c>
      <c r="K381">
        <f>IF(Table1[[#This Row],[Resolution_Date]]="NA"," ",Table1[[#This Row],[Resolution_Date]]-Table1[[#This Row],[Complaint_Date]])</f>
        <v>0</v>
      </c>
      <c r="L381" t="str">
        <f>TEXT(Table1[[#This Row],[Complaint_Date]],"MMM")</f>
        <v>Mar</v>
      </c>
      <c r="M381" t="str">
        <f>IF(Table1[[#This Row],[Resolution_Time_Hours]]&lt;=24,"Fast",IF(Table1[[#This Row],[Resolution_Time_Hours]]&lt;=72,"Medium","Slow"))</f>
        <v>Fast</v>
      </c>
    </row>
    <row r="382" spans="1:13" x14ac:dyDescent="0.3">
      <c r="A382" t="s">
        <v>1056</v>
      </c>
      <c r="B382" t="s">
        <v>1057</v>
      </c>
      <c r="C382" t="s">
        <v>110</v>
      </c>
      <c r="D382" t="s">
        <v>12</v>
      </c>
      <c r="E382" s="2" t="s">
        <v>1058</v>
      </c>
      <c r="F382">
        <v>22</v>
      </c>
      <c r="G382" t="s">
        <v>40</v>
      </c>
      <c r="H382" s="2" t="s">
        <v>2820</v>
      </c>
      <c r="J382" t="str">
        <f>IF(Table1[[#This Row],[Resolution_Date]]="NA","Unresolved","Resolved")</f>
        <v>Unresolved</v>
      </c>
      <c r="K382" t="str">
        <f>IF(Table1[[#This Row],[Resolution_Date]]="NA"," ",Table1[[#This Row],[Resolution_Date]]-Table1[[#This Row],[Complaint_Date]])</f>
        <v xml:space="preserve"> </v>
      </c>
      <c r="L382" t="str">
        <f>TEXT(Table1[[#This Row],[Complaint_Date]],"MMM")</f>
        <v>Jan</v>
      </c>
      <c r="M382" t="str">
        <f>IF(Table1[[#This Row],[Resolution_Time_Hours]]&lt;=24,"Fast",IF(Table1[[#This Row],[Resolution_Time_Hours]]&lt;=72,"Medium","Slow"))</f>
        <v>Fast</v>
      </c>
    </row>
    <row r="383" spans="1:13" x14ac:dyDescent="0.3">
      <c r="A383" t="s">
        <v>1059</v>
      </c>
      <c r="B383" t="s">
        <v>1060</v>
      </c>
      <c r="C383" t="s">
        <v>43</v>
      </c>
      <c r="D383" t="s">
        <v>12</v>
      </c>
      <c r="E383" s="2" t="s">
        <v>809</v>
      </c>
      <c r="F383">
        <v>13</v>
      </c>
      <c r="G383" t="s">
        <v>14</v>
      </c>
      <c r="H383" s="2" t="s">
        <v>2820</v>
      </c>
      <c r="J383" t="str">
        <f>IF(Table1[[#This Row],[Resolution_Date]]="NA","Unresolved","Resolved")</f>
        <v>Unresolved</v>
      </c>
      <c r="K383" t="str">
        <f>IF(Table1[[#This Row],[Resolution_Date]]="NA"," ",Table1[[#This Row],[Resolution_Date]]-Table1[[#This Row],[Complaint_Date]])</f>
        <v xml:space="preserve"> </v>
      </c>
      <c r="L383" t="str">
        <f>TEXT(Table1[[#This Row],[Complaint_Date]],"MMM")</f>
        <v>May</v>
      </c>
      <c r="M383" t="str">
        <f>IF(Table1[[#This Row],[Resolution_Time_Hours]]&lt;=24,"Fast",IF(Table1[[#This Row],[Resolution_Time_Hours]]&lt;=72,"Medium","Slow"))</f>
        <v>Fast</v>
      </c>
    </row>
    <row r="384" spans="1:13" x14ac:dyDescent="0.3">
      <c r="A384" t="s">
        <v>1061</v>
      </c>
      <c r="B384" t="s">
        <v>1062</v>
      </c>
      <c r="C384" t="s">
        <v>110</v>
      </c>
      <c r="D384" t="s">
        <v>12</v>
      </c>
      <c r="E384" s="2" t="s">
        <v>67</v>
      </c>
      <c r="F384">
        <v>22</v>
      </c>
      <c r="G384" t="s">
        <v>20</v>
      </c>
      <c r="H384" s="2" t="s">
        <v>67</v>
      </c>
      <c r="I384">
        <v>3</v>
      </c>
      <c r="J384" t="str">
        <f>IF(Table1[[#This Row],[Resolution_Date]]="NA","Unresolved","Resolved")</f>
        <v>Resolved</v>
      </c>
      <c r="K384">
        <f>IF(Table1[[#This Row],[Resolution_Date]]="NA"," ",Table1[[#This Row],[Resolution_Date]]-Table1[[#This Row],[Complaint_Date]])</f>
        <v>0</v>
      </c>
      <c r="L384" t="str">
        <f>TEXT(Table1[[#This Row],[Complaint_Date]],"MMM")</f>
        <v>Dec</v>
      </c>
      <c r="M384" t="str">
        <f>IF(Table1[[#This Row],[Resolution_Time_Hours]]&lt;=24,"Fast",IF(Table1[[#This Row],[Resolution_Time_Hours]]&lt;=72,"Medium","Slow"))</f>
        <v>Fast</v>
      </c>
    </row>
    <row r="385" spans="1:13" x14ac:dyDescent="0.3">
      <c r="A385" t="s">
        <v>1063</v>
      </c>
      <c r="B385" t="s">
        <v>1064</v>
      </c>
      <c r="C385" t="s">
        <v>11</v>
      </c>
      <c r="D385" t="s">
        <v>95</v>
      </c>
      <c r="E385" s="2" t="s">
        <v>1065</v>
      </c>
      <c r="F385">
        <v>31</v>
      </c>
      <c r="G385" t="s">
        <v>20</v>
      </c>
      <c r="H385" s="2" t="s">
        <v>398</v>
      </c>
      <c r="I385">
        <v>2</v>
      </c>
      <c r="J385" t="str">
        <f>IF(Table1[[#This Row],[Resolution_Date]]="NA","Unresolved","Resolved")</f>
        <v>Resolved</v>
      </c>
      <c r="K385">
        <f>IF(Table1[[#This Row],[Resolution_Date]]="NA"," ",Table1[[#This Row],[Resolution_Date]]-Table1[[#This Row],[Complaint_Date]])</f>
        <v>1</v>
      </c>
      <c r="L385" t="str">
        <f>TEXT(Table1[[#This Row],[Complaint_Date]],"MMM")</f>
        <v>Oct</v>
      </c>
      <c r="M385" t="str">
        <f>IF(Table1[[#This Row],[Resolution_Time_Hours]]&lt;=24,"Fast",IF(Table1[[#This Row],[Resolution_Time_Hours]]&lt;=72,"Medium","Slow"))</f>
        <v>Medium</v>
      </c>
    </row>
    <row r="386" spans="1:13" x14ac:dyDescent="0.3">
      <c r="A386" t="s">
        <v>1066</v>
      </c>
      <c r="B386" t="s">
        <v>1067</v>
      </c>
      <c r="C386" t="s">
        <v>43</v>
      </c>
      <c r="D386" t="s">
        <v>12</v>
      </c>
      <c r="E386" s="2" t="s">
        <v>143</v>
      </c>
      <c r="F386">
        <v>36</v>
      </c>
      <c r="G386" t="s">
        <v>14</v>
      </c>
      <c r="H386" s="2" t="s">
        <v>2820</v>
      </c>
      <c r="J386" t="str">
        <f>IF(Table1[[#This Row],[Resolution_Date]]="NA","Unresolved","Resolved")</f>
        <v>Unresolved</v>
      </c>
      <c r="K386" t="str">
        <f>IF(Table1[[#This Row],[Resolution_Date]]="NA"," ",Table1[[#This Row],[Resolution_Date]]-Table1[[#This Row],[Complaint_Date]])</f>
        <v xml:space="preserve"> </v>
      </c>
      <c r="L386" t="str">
        <f>TEXT(Table1[[#This Row],[Complaint_Date]],"MMM")</f>
        <v>Jan</v>
      </c>
      <c r="M386" t="str">
        <f>IF(Table1[[#This Row],[Resolution_Time_Hours]]&lt;=24,"Fast",IF(Table1[[#This Row],[Resolution_Time_Hours]]&lt;=72,"Medium","Slow"))</f>
        <v>Medium</v>
      </c>
    </row>
    <row r="387" spans="1:13" x14ac:dyDescent="0.3">
      <c r="A387" t="s">
        <v>1068</v>
      </c>
      <c r="B387" t="s">
        <v>1069</v>
      </c>
      <c r="C387" t="s">
        <v>17</v>
      </c>
      <c r="D387" t="s">
        <v>95</v>
      </c>
      <c r="E387" s="2" t="s">
        <v>1070</v>
      </c>
      <c r="F387">
        <v>36</v>
      </c>
      <c r="G387" t="s">
        <v>20</v>
      </c>
      <c r="H387" s="2" t="s">
        <v>1071</v>
      </c>
      <c r="I387">
        <v>2</v>
      </c>
      <c r="J387" t="str">
        <f>IF(Table1[[#This Row],[Resolution_Date]]="NA","Unresolved","Resolved")</f>
        <v>Resolved</v>
      </c>
      <c r="K387">
        <f>IF(Table1[[#This Row],[Resolution_Date]]="NA"," ",Table1[[#This Row],[Resolution_Date]]-Table1[[#This Row],[Complaint_Date]])</f>
        <v>1</v>
      </c>
      <c r="L387" t="str">
        <f>TEXT(Table1[[#This Row],[Complaint_Date]],"MMM")</f>
        <v>Aug</v>
      </c>
      <c r="M387" t="str">
        <f>IF(Table1[[#This Row],[Resolution_Time_Hours]]&lt;=24,"Fast",IF(Table1[[#This Row],[Resolution_Time_Hours]]&lt;=72,"Medium","Slow"))</f>
        <v>Medium</v>
      </c>
    </row>
    <row r="388" spans="1:13" x14ac:dyDescent="0.3">
      <c r="A388" t="s">
        <v>1072</v>
      </c>
      <c r="B388" t="s">
        <v>1073</v>
      </c>
      <c r="C388" t="s">
        <v>48</v>
      </c>
      <c r="D388" t="s">
        <v>38</v>
      </c>
      <c r="E388" s="2" t="s">
        <v>39</v>
      </c>
      <c r="F388">
        <v>17</v>
      </c>
      <c r="G388" t="s">
        <v>14</v>
      </c>
      <c r="H388" s="2" t="s">
        <v>2820</v>
      </c>
      <c r="J388" t="str">
        <f>IF(Table1[[#This Row],[Resolution_Date]]="NA","Unresolved","Resolved")</f>
        <v>Unresolved</v>
      </c>
      <c r="K388" t="str">
        <f>IF(Table1[[#This Row],[Resolution_Date]]="NA"," ",Table1[[#This Row],[Resolution_Date]]-Table1[[#This Row],[Complaint_Date]])</f>
        <v xml:space="preserve"> </v>
      </c>
      <c r="L388" t="str">
        <f>TEXT(Table1[[#This Row],[Complaint_Date]],"MMM")</f>
        <v>Jun</v>
      </c>
      <c r="M388" t="str">
        <f>IF(Table1[[#This Row],[Resolution_Time_Hours]]&lt;=24,"Fast",IF(Table1[[#This Row],[Resolution_Time_Hours]]&lt;=72,"Medium","Slow"))</f>
        <v>Fast</v>
      </c>
    </row>
    <row r="389" spans="1:13" x14ac:dyDescent="0.3">
      <c r="A389" t="s">
        <v>1074</v>
      </c>
      <c r="B389" t="s">
        <v>1075</v>
      </c>
      <c r="C389" t="s">
        <v>70</v>
      </c>
      <c r="D389" t="s">
        <v>38</v>
      </c>
      <c r="E389" s="2" t="s">
        <v>370</v>
      </c>
      <c r="F389">
        <v>2</v>
      </c>
      <c r="G389" t="s">
        <v>20</v>
      </c>
      <c r="H389" s="2" t="s">
        <v>370</v>
      </c>
      <c r="I389">
        <v>5</v>
      </c>
      <c r="J389" t="str">
        <f>IF(Table1[[#This Row],[Resolution_Date]]="NA","Unresolved","Resolved")</f>
        <v>Resolved</v>
      </c>
      <c r="K389">
        <f>IF(Table1[[#This Row],[Resolution_Date]]="NA"," ",Table1[[#This Row],[Resolution_Date]]-Table1[[#This Row],[Complaint_Date]])</f>
        <v>0</v>
      </c>
      <c r="L389" t="str">
        <f>TEXT(Table1[[#This Row],[Complaint_Date]],"MMM")</f>
        <v>May</v>
      </c>
      <c r="M389" t="str">
        <f>IF(Table1[[#This Row],[Resolution_Time_Hours]]&lt;=24,"Fast",IF(Table1[[#This Row],[Resolution_Time_Hours]]&lt;=72,"Medium","Slow"))</f>
        <v>Fast</v>
      </c>
    </row>
    <row r="390" spans="1:13" x14ac:dyDescent="0.3">
      <c r="A390" t="s">
        <v>1076</v>
      </c>
      <c r="B390" t="s">
        <v>1077</v>
      </c>
      <c r="C390" t="s">
        <v>43</v>
      </c>
      <c r="D390" t="s">
        <v>38</v>
      </c>
      <c r="E390" s="2" t="s">
        <v>106</v>
      </c>
      <c r="F390">
        <v>52</v>
      </c>
      <c r="G390" t="s">
        <v>20</v>
      </c>
      <c r="H390" s="2" t="s">
        <v>60</v>
      </c>
      <c r="I390">
        <v>1</v>
      </c>
      <c r="J390" t="str">
        <f>IF(Table1[[#This Row],[Resolution_Date]]="NA","Unresolved","Resolved")</f>
        <v>Resolved</v>
      </c>
      <c r="K390">
        <f>IF(Table1[[#This Row],[Resolution_Date]]="NA"," ",Table1[[#This Row],[Resolution_Date]]-Table1[[#This Row],[Complaint_Date]])</f>
        <v>2</v>
      </c>
      <c r="L390" t="str">
        <f>TEXT(Table1[[#This Row],[Complaint_Date]],"MMM")</f>
        <v>Sep</v>
      </c>
      <c r="M390" t="str">
        <f>IF(Table1[[#This Row],[Resolution_Time_Hours]]&lt;=24,"Fast",IF(Table1[[#This Row],[Resolution_Time_Hours]]&lt;=72,"Medium","Slow"))</f>
        <v>Medium</v>
      </c>
    </row>
    <row r="391" spans="1:13" x14ac:dyDescent="0.3">
      <c r="A391" t="s">
        <v>1078</v>
      </c>
      <c r="B391" t="s">
        <v>1079</v>
      </c>
      <c r="C391" t="s">
        <v>43</v>
      </c>
      <c r="D391" t="s">
        <v>18</v>
      </c>
      <c r="E391" s="2" t="s">
        <v>1080</v>
      </c>
      <c r="F391">
        <v>31</v>
      </c>
      <c r="G391" t="s">
        <v>20</v>
      </c>
      <c r="H391" s="2" t="s">
        <v>255</v>
      </c>
      <c r="I391">
        <v>2</v>
      </c>
      <c r="J391" t="str">
        <f>IF(Table1[[#This Row],[Resolution_Date]]="NA","Unresolved","Resolved")</f>
        <v>Resolved</v>
      </c>
      <c r="K391">
        <f>IF(Table1[[#This Row],[Resolution_Date]]="NA"," ",Table1[[#This Row],[Resolution_Date]]-Table1[[#This Row],[Complaint_Date]])</f>
        <v>1</v>
      </c>
      <c r="L391" t="str">
        <f>TEXT(Table1[[#This Row],[Complaint_Date]],"MMM")</f>
        <v>Feb</v>
      </c>
      <c r="M391" t="str">
        <f>IF(Table1[[#This Row],[Resolution_Time_Hours]]&lt;=24,"Fast",IF(Table1[[#This Row],[Resolution_Time_Hours]]&lt;=72,"Medium","Slow"))</f>
        <v>Medium</v>
      </c>
    </row>
    <row r="392" spans="1:13" x14ac:dyDescent="0.3">
      <c r="A392" t="s">
        <v>1081</v>
      </c>
      <c r="B392" t="s">
        <v>1082</v>
      </c>
      <c r="C392" t="s">
        <v>110</v>
      </c>
      <c r="D392" t="s">
        <v>38</v>
      </c>
      <c r="E392" s="2" t="s">
        <v>54</v>
      </c>
      <c r="F392">
        <v>6</v>
      </c>
      <c r="G392" t="s">
        <v>20</v>
      </c>
      <c r="H392" s="2" t="s">
        <v>54</v>
      </c>
      <c r="I392">
        <v>5</v>
      </c>
      <c r="J392" t="str">
        <f>IF(Table1[[#This Row],[Resolution_Date]]="NA","Unresolved","Resolved")</f>
        <v>Resolved</v>
      </c>
      <c r="K392">
        <f>IF(Table1[[#This Row],[Resolution_Date]]="NA"," ",Table1[[#This Row],[Resolution_Date]]-Table1[[#This Row],[Complaint_Date]])</f>
        <v>0</v>
      </c>
      <c r="L392" t="str">
        <f>TEXT(Table1[[#This Row],[Complaint_Date]],"MMM")</f>
        <v>Mar</v>
      </c>
      <c r="M392" t="str">
        <f>IF(Table1[[#This Row],[Resolution_Time_Hours]]&lt;=24,"Fast",IF(Table1[[#This Row],[Resolution_Time_Hours]]&lt;=72,"Medium","Slow"))</f>
        <v>Fast</v>
      </c>
    </row>
    <row r="393" spans="1:13" x14ac:dyDescent="0.3">
      <c r="A393" t="s">
        <v>1083</v>
      </c>
      <c r="B393" t="s">
        <v>1084</v>
      </c>
      <c r="C393" t="s">
        <v>11</v>
      </c>
      <c r="D393" t="s">
        <v>95</v>
      </c>
      <c r="E393" s="2" t="s">
        <v>803</v>
      </c>
      <c r="F393">
        <v>33</v>
      </c>
      <c r="G393" t="s">
        <v>20</v>
      </c>
      <c r="H393" s="2" t="s">
        <v>823</v>
      </c>
      <c r="I393">
        <v>2</v>
      </c>
      <c r="J393" t="str">
        <f>IF(Table1[[#This Row],[Resolution_Date]]="NA","Unresolved","Resolved")</f>
        <v>Resolved</v>
      </c>
      <c r="K393">
        <f>IF(Table1[[#This Row],[Resolution_Date]]="NA"," ",Table1[[#This Row],[Resolution_Date]]-Table1[[#This Row],[Complaint_Date]])</f>
        <v>1</v>
      </c>
      <c r="L393" t="str">
        <f>TEXT(Table1[[#This Row],[Complaint_Date]],"MMM")</f>
        <v>May</v>
      </c>
      <c r="M393" t="str">
        <f>IF(Table1[[#This Row],[Resolution_Time_Hours]]&lt;=24,"Fast",IF(Table1[[#This Row],[Resolution_Time_Hours]]&lt;=72,"Medium","Slow"))</f>
        <v>Medium</v>
      </c>
    </row>
    <row r="394" spans="1:13" x14ac:dyDescent="0.3">
      <c r="A394" t="s">
        <v>1085</v>
      </c>
      <c r="B394" t="s">
        <v>1086</v>
      </c>
      <c r="C394" t="s">
        <v>70</v>
      </c>
      <c r="D394" t="s">
        <v>12</v>
      </c>
      <c r="E394" s="2" t="s">
        <v>180</v>
      </c>
      <c r="F394">
        <v>23</v>
      </c>
      <c r="G394" t="s">
        <v>14</v>
      </c>
      <c r="H394" s="2" t="s">
        <v>2820</v>
      </c>
      <c r="J394" t="str">
        <f>IF(Table1[[#This Row],[Resolution_Date]]="NA","Unresolved","Resolved")</f>
        <v>Unresolved</v>
      </c>
      <c r="K394" t="str">
        <f>IF(Table1[[#This Row],[Resolution_Date]]="NA"," ",Table1[[#This Row],[Resolution_Date]]-Table1[[#This Row],[Complaint_Date]])</f>
        <v xml:space="preserve"> </v>
      </c>
      <c r="L394" t="str">
        <f>TEXT(Table1[[#This Row],[Complaint_Date]],"MMM")</f>
        <v>Apr</v>
      </c>
      <c r="M394" t="str">
        <f>IF(Table1[[#This Row],[Resolution_Time_Hours]]&lt;=24,"Fast",IF(Table1[[#This Row],[Resolution_Time_Hours]]&lt;=72,"Medium","Slow"))</f>
        <v>Fast</v>
      </c>
    </row>
    <row r="395" spans="1:13" x14ac:dyDescent="0.3">
      <c r="A395" t="s">
        <v>1087</v>
      </c>
      <c r="B395" t="s">
        <v>1088</v>
      </c>
      <c r="C395" t="s">
        <v>34</v>
      </c>
      <c r="D395" t="s">
        <v>12</v>
      </c>
      <c r="E395" s="2" t="s">
        <v>270</v>
      </c>
      <c r="F395">
        <v>80</v>
      </c>
      <c r="G395" t="s">
        <v>20</v>
      </c>
      <c r="H395" s="2" t="s">
        <v>1089</v>
      </c>
      <c r="I395">
        <v>5</v>
      </c>
      <c r="J395" t="str">
        <f>IF(Table1[[#This Row],[Resolution_Date]]="NA","Unresolved","Resolved")</f>
        <v>Resolved</v>
      </c>
      <c r="K395">
        <f>IF(Table1[[#This Row],[Resolution_Date]]="NA"," ",Table1[[#This Row],[Resolution_Date]]-Table1[[#This Row],[Complaint_Date]])</f>
        <v>3</v>
      </c>
      <c r="L395" t="str">
        <f>TEXT(Table1[[#This Row],[Complaint_Date]],"MMM")</f>
        <v>Apr</v>
      </c>
      <c r="M395" t="str">
        <f>IF(Table1[[#This Row],[Resolution_Time_Hours]]&lt;=24,"Fast",IF(Table1[[#This Row],[Resolution_Time_Hours]]&lt;=72,"Medium","Slow"))</f>
        <v>Slow</v>
      </c>
    </row>
    <row r="396" spans="1:13" x14ac:dyDescent="0.3">
      <c r="A396" t="s">
        <v>1090</v>
      </c>
      <c r="B396" t="s">
        <v>1091</v>
      </c>
      <c r="C396" t="s">
        <v>43</v>
      </c>
      <c r="D396" t="s">
        <v>18</v>
      </c>
      <c r="E396" s="2" t="s">
        <v>308</v>
      </c>
      <c r="F396">
        <v>30</v>
      </c>
      <c r="G396" t="s">
        <v>20</v>
      </c>
      <c r="H396" s="2" t="s">
        <v>501</v>
      </c>
      <c r="I396">
        <v>2</v>
      </c>
      <c r="J396" t="str">
        <f>IF(Table1[[#This Row],[Resolution_Date]]="NA","Unresolved","Resolved")</f>
        <v>Resolved</v>
      </c>
      <c r="K396">
        <f>IF(Table1[[#This Row],[Resolution_Date]]="NA"," ",Table1[[#This Row],[Resolution_Date]]-Table1[[#This Row],[Complaint_Date]])</f>
        <v>1</v>
      </c>
      <c r="L396" t="str">
        <f>TEXT(Table1[[#This Row],[Complaint_Date]],"MMM")</f>
        <v>Jun</v>
      </c>
      <c r="M396" t="str">
        <f>IF(Table1[[#This Row],[Resolution_Time_Hours]]&lt;=24,"Fast",IF(Table1[[#This Row],[Resolution_Time_Hours]]&lt;=72,"Medium","Slow"))</f>
        <v>Medium</v>
      </c>
    </row>
    <row r="397" spans="1:13" x14ac:dyDescent="0.3">
      <c r="A397" t="s">
        <v>1092</v>
      </c>
      <c r="B397" t="s">
        <v>1093</v>
      </c>
      <c r="C397" t="s">
        <v>48</v>
      </c>
      <c r="D397" t="s">
        <v>18</v>
      </c>
      <c r="E397" s="2" t="s">
        <v>994</v>
      </c>
      <c r="F397">
        <v>42</v>
      </c>
      <c r="G397" t="s">
        <v>20</v>
      </c>
      <c r="H397" s="2" t="s">
        <v>224</v>
      </c>
      <c r="I397">
        <v>2</v>
      </c>
      <c r="J397" t="str">
        <f>IF(Table1[[#This Row],[Resolution_Date]]="NA","Unresolved","Resolved")</f>
        <v>Resolved</v>
      </c>
      <c r="K397">
        <f>IF(Table1[[#This Row],[Resolution_Date]]="NA"," ",Table1[[#This Row],[Resolution_Date]]-Table1[[#This Row],[Complaint_Date]])</f>
        <v>1</v>
      </c>
      <c r="L397" t="str">
        <f>TEXT(Table1[[#This Row],[Complaint_Date]],"MMM")</f>
        <v>Dec</v>
      </c>
      <c r="M397" t="str">
        <f>IF(Table1[[#This Row],[Resolution_Time_Hours]]&lt;=24,"Fast",IF(Table1[[#This Row],[Resolution_Time_Hours]]&lt;=72,"Medium","Slow"))</f>
        <v>Medium</v>
      </c>
    </row>
    <row r="398" spans="1:13" x14ac:dyDescent="0.3">
      <c r="A398" t="s">
        <v>1094</v>
      </c>
      <c r="B398" t="s">
        <v>1095</v>
      </c>
      <c r="C398" t="s">
        <v>53</v>
      </c>
      <c r="D398" t="s">
        <v>38</v>
      </c>
      <c r="E398" s="2" t="s">
        <v>563</v>
      </c>
      <c r="F398">
        <v>7</v>
      </c>
      <c r="G398" t="s">
        <v>14</v>
      </c>
      <c r="H398" s="2" t="s">
        <v>2820</v>
      </c>
      <c r="J398" t="str">
        <f>IF(Table1[[#This Row],[Resolution_Date]]="NA","Unresolved","Resolved")</f>
        <v>Unresolved</v>
      </c>
      <c r="K398" t="str">
        <f>IF(Table1[[#This Row],[Resolution_Date]]="NA"," ",Table1[[#This Row],[Resolution_Date]]-Table1[[#This Row],[Complaint_Date]])</f>
        <v xml:space="preserve"> </v>
      </c>
      <c r="L398" t="str">
        <f>TEXT(Table1[[#This Row],[Complaint_Date]],"MMM")</f>
        <v>Jan</v>
      </c>
      <c r="M398" t="str">
        <f>IF(Table1[[#This Row],[Resolution_Time_Hours]]&lt;=24,"Fast",IF(Table1[[#This Row],[Resolution_Time_Hours]]&lt;=72,"Medium","Slow"))</f>
        <v>Fast</v>
      </c>
    </row>
    <row r="399" spans="1:13" x14ac:dyDescent="0.3">
      <c r="A399" t="s">
        <v>1096</v>
      </c>
      <c r="B399" t="s">
        <v>1097</v>
      </c>
      <c r="C399" t="s">
        <v>11</v>
      </c>
      <c r="D399" t="s">
        <v>18</v>
      </c>
      <c r="E399" s="2" t="s">
        <v>947</v>
      </c>
      <c r="F399">
        <v>18</v>
      </c>
      <c r="G399" t="s">
        <v>40</v>
      </c>
      <c r="H399" s="2" t="s">
        <v>2820</v>
      </c>
      <c r="J399" t="str">
        <f>IF(Table1[[#This Row],[Resolution_Date]]="NA","Unresolved","Resolved")</f>
        <v>Unresolved</v>
      </c>
      <c r="K399" t="str">
        <f>IF(Table1[[#This Row],[Resolution_Date]]="NA"," ",Table1[[#This Row],[Resolution_Date]]-Table1[[#This Row],[Complaint_Date]])</f>
        <v xml:space="preserve"> </v>
      </c>
      <c r="L399" t="str">
        <f>TEXT(Table1[[#This Row],[Complaint_Date]],"MMM")</f>
        <v>Mar</v>
      </c>
      <c r="M399" t="str">
        <f>IF(Table1[[#This Row],[Resolution_Time_Hours]]&lt;=24,"Fast",IF(Table1[[#This Row],[Resolution_Time_Hours]]&lt;=72,"Medium","Slow"))</f>
        <v>Fast</v>
      </c>
    </row>
    <row r="400" spans="1:13" x14ac:dyDescent="0.3">
      <c r="A400" t="s">
        <v>1098</v>
      </c>
      <c r="B400" t="s">
        <v>1099</v>
      </c>
      <c r="C400" t="s">
        <v>48</v>
      </c>
      <c r="D400" t="s">
        <v>27</v>
      </c>
      <c r="E400" s="2" t="s">
        <v>903</v>
      </c>
      <c r="F400">
        <v>31</v>
      </c>
      <c r="G400" t="s">
        <v>20</v>
      </c>
      <c r="H400" s="2" t="s">
        <v>183</v>
      </c>
      <c r="I400">
        <v>2</v>
      </c>
      <c r="J400" t="str">
        <f>IF(Table1[[#This Row],[Resolution_Date]]="NA","Unresolved","Resolved")</f>
        <v>Resolved</v>
      </c>
      <c r="K400">
        <f>IF(Table1[[#This Row],[Resolution_Date]]="NA"," ",Table1[[#This Row],[Resolution_Date]]-Table1[[#This Row],[Complaint_Date]])</f>
        <v>1</v>
      </c>
      <c r="L400" t="str">
        <f>TEXT(Table1[[#This Row],[Complaint_Date]],"MMM")</f>
        <v>Feb</v>
      </c>
      <c r="M400" t="str">
        <f>IF(Table1[[#This Row],[Resolution_Time_Hours]]&lt;=24,"Fast",IF(Table1[[#This Row],[Resolution_Time_Hours]]&lt;=72,"Medium","Slow"))</f>
        <v>Medium</v>
      </c>
    </row>
    <row r="401" spans="1:13" x14ac:dyDescent="0.3">
      <c r="A401" t="s">
        <v>1100</v>
      </c>
      <c r="B401" t="s">
        <v>1101</v>
      </c>
      <c r="C401" t="s">
        <v>48</v>
      </c>
      <c r="D401" t="s">
        <v>27</v>
      </c>
      <c r="E401" s="2" t="s">
        <v>97</v>
      </c>
      <c r="F401">
        <v>18</v>
      </c>
      <c r="G401" t="s">
        <v>14</v>
      </c>
      <c r="H401" s="2" t="s">
        <v>2820</v>
      </c>
      <c r="J401" t="str">
        <f>IF(Table1[[#This Row],[Resolution_Date]]="NA","Unresolved","Resolved")</f>
        <v>Unresolved</v>
      </c>
      <c r="K401" t="str">
        <f>IF(Table1[[#This Row],[Resolution_Date]]="NA"," ",Table1[[#This Row],[Resolution_Date]]-Table1[[#This Row],[Complaint_Date]])</f>
        <v xml:space="preserve"> </v>
      </c>
      <c r="L401" t="str">
        <f>TEXT(Table1[[#This Row],[Complaint_Date]],"MMM")</f>
        <v>Feb</v>
      </c>
      <c r="M401" t="str">
        <f>IF(Table1[[#This Row],[Resolution_Time_Hours]]&lt;=24,"Fast",IF(Table1[[#This Row],[Resolution_Time_Hours]]&lt;=72,"Medium","Slow"))</f>
        <v>Fast</v>
      </c>
    </row>
    <row r="402" spans="1:13" x14ac:dyDescent="0.3">
      <c r="A402" t="s">
        <v>1102</v>
      </c>
      <c r="B402" t="s">
        <v>1103</v>
      </c>
      <c r="C402" t="s">
        <v>11</v>
      </c>
      <c r="D402" t="s">
        <v>18</v>
      </c>
      <c r="E402" s="2" t="s">
        <v>79</v>
      </c>
      <c r="F402">
        <v>44</v>
      </c>
      <c r="G402" t="s">
        <v>20</v>
      </c>
      <c r="H402" s="2" t="s">
        <v>133</v>
      </c>
      <c r="I402">
        <v>2</v>
      </c>
      <c r="J402" t="str">
        <f>IF(Table1[[#This Row],[Resolution_Date]]="NA","Unresolved","Resolved")</f>
        <v>Resolved</v>
      </c>
      <c r="K402">
        <f>IF(Table1[[#This Row],[Resolution_Date]]="NA"," ",Table1[[#This Row],[Resolution_Date]]-Table1[[#This Row],[Complaint_Date]])</f>
        <v>1</v>
      </c>
      <c r="L402" t="str">
        <f>TEXT(Table1[[#This Row],[Complaint_Date]],"MMM")</f>
        <v>Jun</v>
      </c>
      <c r="M402" t="str">
        <f>IF(Table1[[#This Row],[Resolution_Time_Hours]]&lt;=24,"Fast",IF(Table1[[#This Row],[Resolution_Time_Hours]]&lt;=72,"Medium","Slow"))</f>
        <v>Medium</v>
      </c>
    </row>
    <row r="403" spans="1:13" x14ac:dyDescent="0.3">
      <c r="A403" t="s">
        <v>1104</v>
      </c>
      <c r="B403" t="s">
        <v>1105</v>
      </c>
      <c r="C403" t="s">
        <v>43</v>
      </c>
      <c r="D403" t="s">
        <v>27</v>
      </c>
      <c r="E403" s="2" t="s">
        <v>296</v>
      </c>
      <c r="F403">
        <v>72</v>
      </c>
      <c r="G403" t="s">
        <v>20</v>
      </c>
      <c r="H403" s="2" t="s">
        <v>1106</v>
      </c>
      <c r="I403">
        <v>1</v>
      </c>
      <c r="J403" t="str">
        <f>IF(Table1[[#This Row],[Resolution_Date]]="NA","Unresolved","Resolved")</f>
        <v>Resolved</v>
      </c>
      <c r="K403">
        <f>IF(Table1[[#This Row],[Resolution_Date]]="NA"," ",Table1[[#This Row],[Resolution_Date]]-Table1[[#This Row],[Complaint_Date]])</f>
        <v>3</v>
      </c>
      <c r="L403" t="str">
        <f>TEXT(Table1[[#This Row],[Complaint_Date]],"MMM")</f>
        <v>Mar</v>
      </c>
      <c r="M403" t="str">
        <f>IF(Table1[[#This Row],[Resolution_Time_Hours]]&lt;=24,"Fast",IF(Table1[[#This Row],[Resolution_Time_Hours]]&lt;=72,"Medium","Slow"))</f>
        <v>Medium</v>
      </c>
    </row>
    <row r="404" spans="1:13" x14ac:dyDescent="0.3">
      <c r="A404" t="s">
        <v>1107</v>
      </c>
      <c r="B404" t="s">
        <v>1108</v>
      </c>
      <c r="C404" t="s">
        <v>34</v>
      </c>
      <c r="D404" t="s">
        <v>18</v>
      </c>
      <c r="E404" s="2" t="s">
        <v>1109</v>
      </c>
      <c r="F404">
        <v>50</v>
      </c>
      <c r="G404" t="s">
        <v>40</v>
      </c>
      <c r="H404" s="2" t="s">
        <v>2820</v>
      </c>
      <c r="J404" t="str">
        <f>IF(Table1[[#This Row],[Resolution_Date]]="NA","Unresolved","Resolved")</f>
        <v>Unresolved</v>
      </c>
      <c r="K404" t="str">
        <f>IF(Table1[[#This Row],[Resolution_Date]]="NA"," ",Table1[[#This Row],[Resolution_Date]]-Table1[[#This Row],[Complaint_Date]])</f>
        <v xml:space="preserve"> </v>
      </c>
      <c r="L404" t="str">
        <f>TEXT(Table1[[#This Row],[Complaint_Date]],"MMM")</f>
        <v>Sep</v>
      </c>
      <c r="M404" t="str">
        <f>IF(Table1[[#This Row],[Resolution_Time_Hours]]&lt;=24,"Fast",IF(Table1[[#This Row],[Resolution_Time_Hours]]&lt;=72,"Medium","Slow"))</f>
        <v>Medium</v>
      </c>
    </row>
    <row r="405" spans="1:13" x14ac:dyDescent="0.3">
      <c r="A405" t="s">
        <v>1110</v>
      </c>
      <c r="B405" t="s">
        <v>1111</v>
      </c>
      <c r="C405" t="s">
        <v>43</v>
      </c>
      <c r="D405" t="s">
        <v>18</v>
      </c>
      <c r="E405" s="2" t="s">
        <v>577</v>
      </c>
      <c r="F405">
        <v>18</v>
      </c>
      <c r="G405" t="s">
        <v>14</v>
      </c>
      <c r="H405" s="2" t="s">
        <v>2820</v>
      </c>
      <c r="J405" t="str">
        <f>IF(Table1[[#This Row],[Resolution_Date]]="NA","Unresolved","Resolved")</f>
        <v>Unresolved</v>
      </c>
      <c r="K405" t="str">
        <f>IF(Table1[[#This Row],[Resolution_Date]]="NA"," ",Table1[[#This Row],[Resolution_Date]]-Table1[[#This Row],[Complaint_Date]])</f>
        <v xml:space="preserve"> </v>
      </c>
      <c r="L405" t="str">
        <f>TEXT(Table1[[#This Row],[Complaint_Date]],"MMM")</f>
        <v>Aug</v>
      </c>
      <c r="M405" t="str">
        <f>IF(Table1[[#This Row],[Resolution_Time_Hours]]&lt;=24,"Fast",IF(Table1[[#This Row],[Resolution_Time_Hours]]&lt;=72,"Medium","Slow"))</f>
        <v>Fast</v>
      </c>
    </row>
    <row r="406" spans="1:13" x14ac:dyDescent="0.3">
      <c r="A406" t="s">
        <v>1112</v>
      </c>
      <c r="B406" t="s">
        <v>1113</v>
      </c>
      <c r="C406" t="s">
        <v>53</v>
      </c>
      <c r="D406" t="s">
        <v>38</v>
      </c>
      <c r="E406" s="2" t="s">
        <v>180</v>
      </c>
      <c r="F406">
        <v>9</v>
      </c>
      <c r="G406" t="s">
        <v>20</v>
      </c>
      <c r="H406" s="2" t="s">
        <v>180</v>
      </c>
      <c r="I406">
        <v>4</v>
      </c>
      <c r="J406" t="str">
        <f>IF(Table1[[#This Row],[Resolution_Date]]="NA","Unresolved","Resolved")</f>
        <v>Resolved</v>
      </c>
      <c r="K406">
        <f>IF(Table1[[#This Row],[Resolution_Date]]="NA"," ",Table1[[#This Row],[Resolution_Date]]-Table1[[#This Row],[Complaint_Date]])</f>
        <v>0</v>
      </c>
      <c r="L406" t="str">
        <f>TEXT(Table1[[#This Row],[Complaint_Date]],"MMM")</f>
        <v>Apr</v>
      </c>
      <c r="M406" t="str">
        <f>IF(Table1[[#This Row],[Resolution_Time_Hours]]&lt;=24,"Fast",IF(Table1[[#This Row],[Resolution_Time_Hours]]&lt;=72,"Medium","Slow"))</f>
        <v>Fast</v>
      </c>
    </row>
    <row r="407" spans="1:13" x14ac:dyDescent="0.3">
      <c r="A407" t="s">
        <v>1114</v>
      </c>
      <c r="B407" t="s">
        <v>1115</v>
      </c>
      <c r="C407" t="s">
        <v>53</v>
      </c>
      <c r="D407" t="s">
        <v>95</v>
      </c>
      <c r="E407" s="2" t="s">
        <v>330</v>
      </c>
      <c r="F407">
        <v>11</v>
      </c>
      <c r="G407" t="s">
        <v>20</v>
      </c>
      <c r="H407" s="2" t="s">
        <v>330</v>
      </c>
      <c r="I407">
        <v>4</v>
      </c>
      <c r="J407" t="str">
        <f>IF(Table1[[#This Row],[Resolution_Date]]="NA","Unresolved","Resolved")</f>
        <v>Resolved</v>
      </c>
      <c r="K407">
        <f>IF(Table1[[#This Row],[Resolution_Date]]="NA"," ",Table1[[#This Row],[Resolution_Date]]-Table1[[#This Row],[Complaint_Date]])</f>
        <v>0</v>
      </c>
      <c r="L407" t="str">
        <f>TEXT(Table1[[#This Row],[Complaint_Date]],"MMM")</f>
        <v>Nov</v>
      </c>
      <c r="M407" t="str">
        <f>IF(Table1[[#This Row],[Resolution_Time_Hours]]&lt;=24,"Fast",IF(Table1[[#This Row],[Resolution_Time_Hours]]&lt;=72,"Medium","Slow"))</f>
        <v>Fast</v>
      </c>
    </row>
    <row r="408" spans="1:13" x14ac:dyDescent="0.3">
      <c r="A408" t="s">
        <v>1116</v>
      </c>
      <c r="B408" t="s">
        <v>1117</v>
      </c>
      <c r="C408" t="s">
        <v>110</v>
      </c>
      <c r="D408" t="s">
        <v>12</v>
      </c>
      <c r="E408" s="2" t="s">
        <v>386</v>
      </c>
      <c r="F408">
        <v>17</v>
      </c>
      <c r="G408" t="s">
        <v>20</v>
      </c>
      <c r="H408" s="2" t="s">
        <v>386</v>
      </c>
      <c r="I408">
        <v>3</v>
      </c>
      <c r="J408" t="str">
        <f>IF(Table1[[#This Row],[Resolution_Date]]="NA","Unresolved","Resolved")</f>
        <v>Resolved</v>
      </c>
      <c r="K408">
        <f>IF(Table1[[#This Row],[Resolution_Date]]="NA"," ",Table1[[#This Row],[Resolution_Date]]-Table1[[#This Row],[Complaint_Date]])</f>
        <v>0</v>
      </c>
      <c r="L408" t="str">
        <f>TEXT(Table1[[#This Row],[Complaint_Date]],"MMM")</f>
        <v>Jul</v>
      </c>
      <c r="M408" t="str">
        <f>IF(Table1[[#This Row],[Resolution_Time_Hours]]&lt;=24,"Fast",IF(Table1[[#This Row],[Resolution_Time_Hours]]&lt;=72,"Medium","Slow"))</f>
        <v>Fast</v>
      </c>
    </row>
    <row r="409" spans="1:13" x14ac:dyDescent="0.3">
      <c r="A409" t="s">
        <v>1118</v>
      </c>
      <c r="B409" t="s">
        <v>1119</v>
      </c>
      <c r="C409" t="s">
        <v>110</v>
      </c>
      <c r="D409" t="s">
        <v>18</v>
      </c>
      <c r="E409" s="2" t="s">
        <v>67</v>
      </c>
      <c r="F409">
        <v>13</v>
      </c>
      <c r="G409" t="s">
        <v>20</v>
      </c>
      <c r="H409" s="2" t="s">
        <v>67</v>
      </c>
      <c r="I409">
        <v>5</v>
      </c>
      <c r="J409" t="str">
        <f>IF(Table1[[#This Row],[Resolution_Date]]="NA","Unresolved","Resolved")</f>
        <v>Resolved</v>
      </c>
      <c r="K409">
        <f>IF(Table1[[#This Row],[Resolution_Date]]="NA"," ",Table1[[#This Row],[Resolution_Date]]-Table1[[#This Row],[Complaint_Date]])</f>
        <v>0</v>
      </c>
      <c r="L409" t="str">
        <f>TEXT(Table1[[#This Row],[Complaint_Date]],"MMM")</f>
        <v>Dec</v>
      </c>
      <c r="M409" t="str">
        <f>IF(Table1[[#This Row],[Resolution_Time_Hours]]&lt;=24,"Fast",IF(Table1[[#This Row],[Resolution_Time_Hours]]&lt;=72,"Medium","Slow"))</f>
        <v>Fast</v>
      </c>
    </row>
    <row r="410" spans="1:13" x14ac:dyDescent="0.3">
      <c r="A410" t="s">
        <v>1120</v>
      </c>
      <c r="B410" t="s">
        <v>1121</v>
      </c>
      <c r="C410" t="s">
        <v>48</v>
      </c>
      <c r="D410" t="s">
        <v>27</v>
      </c>
      <c r="E410" s="2" t="s">
        <v>1122</v>
      </c>
      <c r="F410">
        <v>25</v>
      </c>
      <c r="G410" t="s">
        <v>20</v>
      </c>
      <c r="H410" s="2" t="s">
        <v>136</v>
      </c>
      <c r="I410">
        <v>2</v>
      </c>
      <c r="J410" t="str">
        <f>IF(Table1[[#This Row],[Resolution_Date]]="NA","Unresolved","Resolved")</f>
        <v>Resolved</v>
      </c>
      <c r="K410">
        <f>IF(Table1[[#This Row],[Resolution_Date]]="NA"," ",Table1[[#This Row],[Resolution_Date]]-Table1[[#This Row],[Complaint_Date]])</f>
        <v>1</v>
      </c>
      <c r="L410" t="str">
        <f>TEXT(Table1[[#This Row],[Complaint_Date]],"MMM")</f>
        <v>Mar</v>
      </c>
      <c r="M410" t="str">
        <f>IF(Table1[[#This Row],[Resolution_Time_Hours]]&lt;=24,"Fast",IF(Table1[[#This Row],[Resolution_Time_Hours]]&lt;=72,"Medium","Slow"))</f>
        <v>Medium</v>
      </c>
    </row>
    <row r="411" spans="1:13" x14ac:dyDescent="0.3">
      <c r="A411" t="s">
        <v>1123</v>
      </c>
      <c r="B411" t="s">
        <v>1124</v>
      </c>
      <c r="C411" t="s">
        <v>70</v>
      </c>
      <c r="D411" t="s">
        <v>38</v>
      </c>
      <c r="E411" s="2" t="s">
        <v>944</v>
      </c>
      <c r="F411">
        <v>19</v>
      </c>
      <c r="G411" t="s">
        <v>20</v>
      </c>
      <c r="H411" s="2" t="s">
        <v>944</v>
      </c>
      <c r="I411">
        <v>5</v>
      </c>
      <c r="J411" t="str">
        <f>IF(Table1[[#This Row],[Resolution_Date]]="NA","Unresolved","Resolved")</f>
        <v>Resolved</v>
      </c>
      <c r="K411">
        <f>IF(Table1[[#This Row],[Resolution_Date]]="NA"," ",Table1[[#This Row],[Resolution_Date]]-Table1[[#This Row],[Complaint_Date]])</f>
        <v>0</v>
      </c>
      <c r="L411" t="str">
        <f>TEXT(Table1[[#This Row],[Complaint_Date]],"MMM")</f>
        <v>May</v>
      </c>
      <c r="M411" t="str">
        <f>IF(Table1[[#This Row],[Resolution_Time_Hours]]&lt;=24,"Fast",IF(Table1[[#This Row],[Resolution_Time_Hours]]&lt;=72,"Medium","Slow"))</f>
        <v>Fast</v>
      </c>
    </row>
    <row r="412" spans="1:13" x14ac:dyDescent="0.3">
      <c r="A412" t="s">
        <v>1125</v>
      </c>
      <c r="B412" t="s">
        <v>1126</v>
      </c>
      <c r="C412" t="s">
        <v>43</v>
      </c>
      <c r="D412" t="s">
        <v>12</v>
      </c>
      <c r="E412" s="2" t="s">
        <v>96</v>
      </c>
      <c r="F412">
        <v>57</v>
      </c>
      <c r="G412" t="s">
        <v>20</v>
      </c>
      <c r="H412" s="2" t="s">
        <v>1127</v>
      </c>
      <c r="I412">
        <v>5</v>
      </c>
      <c r="J412" t="str">
        <f>IF(Table1[[#This Row],[Resolution_Date]]="NA","Unresolved","Resolved")</f>
        <v>Resolved</v>
      </c>
      <c r="K412">
        <f>IF(Table1[[#This Row],[Resolution_Date]]="NA"," ",Table1[[#This Row],[Resolution_Date]]-Table1[[#This Row],[Complaint_Date]])</f>
        <v>2</v>
      </c>
      <c r="L412" t="str">
        <f>TEXT(Table1[[#This Row],[Complaint_Date]],"MMM")</f>
        <v>Feb</v>
      </c>
      <c r="M412" t="str">
        <f>IF(Table1[[#This Row],[Resolution_Time_Hours]]&lt;=24,"Fast",IF(Table1[[#This Row],[Resolution_Time_Hours]]&lt;=72,"Medium","Slow"))</f>
        <v>Medium</v>
      </c>
    </row>
    <row r="413" spans="1:13" x14ac:dyDescent="0.3">
      <c r="A413" t="s">
        <v>1128</v>
      </c>
      <c r="B413" t="s">
        <v>1129</v>
      </c>
      <c r="C413" t="s">
        <v>17</v>
      </c>
      <c r="D413" t="s">
        <v>38</v>
      </c>
      <c r="E413" s="2" t="s">
        <v>389</v>
      </c>
      <c r="F413">
        <v>28</v>
      </c>
      <c r="G413" t="s">
        <v>40</v>
      </c>
      <c r="H413" s="2" t="s">
        <v>2820</v>
      </c>
      <c r="J413" t="str">
        <f>IF(Table1[[#This Row],[Resolution_Date]]="NA","Unresolved","Resolved")</f>
        <v>Unresolved</v>
      </c>
      <c r="K413" t="str">
        <f>IF(Table1[[#This Row],[Resolution_Date]]="NA"," ",Table1[[#This Row],[Resolution_Date]]-Table1[[#This Row],[Complaint_Date]])</f>
        <v xml:space="preserve"> </v>
      </c>
      <c r="L413" t="str">
        <f>TEXT(Table1[[#This Row],[Complaint_Date]],"MMM")</f>
        <v>Feb</v>
      </c>
      <c r="M413" t="str">
        <f>IF(Table1[[#This Row],[Resolution_Time_Hours]]&lt;=24,"Fast",IF(Table1[[#This Row],[Resolution_Time_Hours]]&lt;=72,"Medium","Slow"))</f>
        <v>Medium</v>
      </c>
    </row>
    <row r="414" spans="1:13" x14ac:dyDescent="0.3">
      <c r="A414" t="s">
        <v>1130</v>
      </c>
      <c r="B414" t="s">
        <v>1131</v>
      </c>
      <c r="C414" t="s">
        <v>110</v>
      </c>
      <c r="D414" t="s">
        <v>12</v>
      </c>
      <c r="E414" s="2" t="s">
        <v>329</v>
      </c>
      <c r="F414">
        <v>16</v>
      </c>
      <c r="G414" t="s">
        <v>20</v>
      </c>
      <c r="H414" s="2" t="s">
        <v>329</v>
      </c>
      <c r="I414">
        <v>3</v>
      </c>
      <c r="J414" t="str">
        <f>IF(Table1[[#This Row],[Resolution_Date]]="NA","Unresolved","Resolved")</f>
        <v>Resolved</v>
      </c>
      <c r="K414">
        <f>IF(Table1[[#This Row],[Resolution_Date]]="NA"," ",Table1[[#This Row],[Resolution_Date]]-Table1[[#This Row],[Complaint_Date]])</f>
        <v>0</v>
      </c>
      <c r="L414" t="str">
        <f>TEXT(Table1[[#This Row],[Complaint_Date]],"MMM")</f>
        <v>Nov</v>
      </c>
      <c r="M414" t="str">
        <f>IF(Table1[[#This Row],[Resolution_Time_Hours]]&lt;=24,"Fast",IF(Table1[[#This Row],[Resolution_Time_Hours]]&lt;=72,"Medium","Slow"))</f>
        <v>Fast</v>
      </c>
    </row>
    <row r="415" spans="1:13" x14ac:dyDescent="0.3">
      <c r="A415" t="s">
        <v>1132</v>
      </c>
      <c r="B415" t="s">
        <v>1133</v>
      </c>
      <c r="C415" t="s">
        <v>110</v>
      </c>
      <c r="D415" t="s">
        <v>18</v>
      </c>
      <c r="E415" s="2" t="s">
        <v>991</v>
      </c>
      <c r="F415">
        <v>22</v>
      </c>
      <c r="G415" t="s">
        <v>20</v>
      </c>
      <c r="H415" s="2" t="s">
        <v>991</v>
      </c>
      <c r="I415">
        <v>3</v>
      </c>
      <c r="J415" t="str">
        <f>IF(Table1[[#This Row],[Resolution_Date]]="NA","Unresolved","Resolved")</f>
        <v>Resolved</v>
      </c>
      <c r="K415">
        <f>IF(Table1[[#This Row],[Resolution_Date]]="NA"," ",Table1[[#This Row],[Resolution_Date]]-Table1[[#This Row],[Complaint_Date]])</f>
        <v>0</v>
      </c>
      <c r="L415" t="str">
        <f>TEXT(Table1[[#This Row],[Complaint_Date]],"MMM")</f>
        <v>Mar</v>
      </c>
      <c r="M415" t="str">
        <f>IF(Table1[[#This Row],[Resolution_Time_Hours]]&lt;=24,"Fast",IF(Table1[[#This Row],[Resolution_Time_Hours]]&lt;=72,"Medium","Slow"))</f>
        <v>Fast</v>
      </c>
    </row>
    <row r="416" spans="1:13" x14ac:dyDescent="0.3">
      <c r="A416" t="s">
        <v>1134</v>
      </c>
      <c r="B416" t="s">
        <v>1135</v>
      </c>
      <c r="C416" t="s">
        <v>53</v>
      </c>
      <c r="D416" t="s">
        <v>18</v>
      </c>
      <c r="E416" s="2" t="s">
        <v>97</v>
      </c>
      <c r="F416">
        <v>4</v>
      </c>
      <c r="G416" t="s">
        <v>20</v>
      </c>
      <c r="H416" s="2" t="s">
        <v>97</v>
      </c>
      <c r="I416">
        <v>5</v>
      </c>
      <c r="J416" t="str">
        <f>IF(Table1[[#This Row],[Resolution_Date]]="NA","Unresolved","Resolved")</f>
        <v>Resolved</v>
      </c>
      <c r="K416">
        <f>IF(Table1[[#This Row],[Resolution_Date]]="NA"," ",Table1[[#This Row],[Resolution_Date]]-Table1[[#This Row],[Complaint_Date]])</f>
        <v>0</v>
      </c>
      <c r="L416" t="str">
        <f>TEXT(Table1[[#This Row],[Complaint_Date]],"MMM")</f>
        <v>Feb</v>
      </c>
      <c r="M416" t="str">
        <f>IF(Table1[[#This Row],[Resolution_Time_Hours]]&lt;=24,"Fast",IF(Table1[[#This Row],[Resolution_Time_Hours]]&lt;=72,"Medium","Slow"))</f>
        <v>Fast</v>
      </c>
    </row>
    <row r="417" spans="1:13" x14ac:dyDescent="0.3">
      <c r="A417" t="s">
        <v>1136</v>
      </c>
      <c r="B417" t="s">
        <v>1137</v>
      </c>
      <c r="C417" t="s">
        <v>43</v>
      </c>
      <c r="D417" t="s">
        <v>12</v>
      </c>
      <c r="E417" s="2" t="s">
        <v>50</v>
      </c>
      <c r="F417">
        <v>6</v>
      </c>
      <c r="G417" t="s">
        <v>20</v>
      </c>
      <c r="H417" s="2" t="s">
        <v>50</v>
      </c>
      <c r="I417">
        <v>5</v>
      </c>
      <c r="J417" t="str">
        <f>IF(Table1[[#This Row],[Resolution_Date]]="NA","Unresolved","Resolved")</f>
        <v>Resolved</v>
      </c>
      <c r="K417">
        <f>IF(Table1[[#This Row],[Resolution_Date]]="NA"," ",Table1[[#This Row],[Resolution_Date]]-Table1[[#This Row],[Complaint_Date]])</f>
        <v>0</v>
      </c>
      <c r="L417" t="str">
        <f>TEXT(Table1[[#This Row],[Complaint_Date]],"MMM")</f>
        <v>Jul</v>
      </c>
      <c r="M417" t="str">
        <f>IF(Table1[[#This Row],[Resolution_Time_Hours]]&lt;=24,"Fast",IF(Table1[[#This Row],[Resolution_Time_Hours]]&lt;=72,"Medium","Slow"))</f>
        <v>Fast</v>
      </c>
    </row>
    <row r="418" spans="1:13" x14ac:dyDescent="0.3">
      <c r="A418" t="s">
        <v>1138</v>
      </c>
      <c r="B418" t="s">
        <v>1139</v>
      </c>
      <c r="C418" t="s">
        <v>43</v>
      </c>
      <c r="D418" t="s">
        <v>12</v>
      </c>
      <c r="E418" s="2" t="s">
        <v>1140</v>
      </c>
      <c r="F418">
        <v>35</v>
      </c>
      <c r="G418" t="s">
        <v>20</v>
      </c>
      <c r="H418" s="2" t="s">
        <v>614</v>
      </c>
      <c r="I418">
        <v>2</v>
      </c>
      <c r="J418" t="str">
        <f>IF(Table1[[#This Row],[Resolution_Date]]="NA","Unresolved","Resolved")</f>
        <v>Resolved</v>
      </c>
      <c r="K418">
        <f>IF(Table1[[#This Row],[Resolution_Date]]="NA"," ",Table1[[#This Row],[Resolution_Date]]-Table1[[#This Row],[Complaint_Date]])</f>
        <v>1</v>
      </c>
      <c r="L418" t="str">
        <f>TEXT(Table1[[#This Row],[Complaint_Date]],"MMM")</f>
        <v>Aug</v>
      </c>
      <c r="M418" t="str">
        <f>IF(Table1[[#This Row],[Resolution_Time_Hours]]&lt;=24,"Fast",IF(Table1[[#This Row],[Resolution_Time_Hours]]&lt;=72,"Medium","Slow"))</f>
        <v>Medium</v>
      </c>
    </row>
    <row r="419" spans="1:13" x14ac:dyDescent="0.3">
      <c r="A419" t="s">
        <v>1141</v>
      </c>
      <c r="B419" t="s">
        <v>1142</v>
      </c>
      <c r="C419" t="s">
        <v>17</v>
      </c>
      <c r="D419" t="s">
        <v>95</v>
      </c>
      <c r="E419" s="2" t="s">
        <v>1143</v>
      </c>
      <c r="F419">
        <v>29</v>
      </c>
      <c r="G419" t="s">
        <v>14</v>
      </c>
      <c r="H419" s="2" t="s">
        <v>2820</v>
      </c>
      <c r="J419" t="str">
        <f>IF(Table1[[#This Row],[Resolution_Date]]="NA","Unresolved","Resolved")</f>
        <v>Unresolved</v>
      </c>
      <c r="K419" t="str">
        <f>IF(Table1[[#This Row],[Resolution_Date]]="NA"," ",Table1[[#This Row],[Resolution_Date]]-Table1[[#This Row],[Complaint_Date]])</f>
        <v xml:space="preserve"> </v>
      </c>
      <c r="L419" t="str">
        <f>TEXT(Table1[[#This Row],[Complaint_Date]],"MMM")</f>
        <v>Jan</v>
      </c>
      <c r="M419" t="str">
        <f>IF(Table1[[#This Row],[Resolution_Time_Hours]]&lt;=24,"Fast",IF(Table1[[#This Row],[Resolution_Time_Hours]]&lt;=72,"Medium","Slow"))</f>
        <v>Medium</v>
      </c>
    </row>
    <row r="420" spans="1:13" x14ac:dyDescent="0.3">
      <c r="A420" t="s">
        <v>1144</v>
      </c>
      <c r="B420" t="s">
        <v>1145</v>
      </c>
      <c r="C420" t="s">
        <v>34</v>
      </c>
      <c r="D420" t="s">
        <v>27</v>
      </c>
      <c r="E420" s="2" t="s">
        <v>1146</v>
      </c>
      <c r="F420">
        <v>89</v>
      </c>
      <c r="G420" t="s">
        <v>14</v>
      </c>
      <c r="H420" s="2" t="s">
        <v>2820</v>
      </c>
      <c r="J420" t="str">
        <f>IF(Table1[[#This Row],[Resolution_Date]]="NA","Unresolved","Resolved")</f>
        <v>Unresolved</v>
      </c>
      <c r="K420" t="str">
        <f>IF(Table1[[#This Row],[Resolution_Date]]="NA"," ",Table1[[#This Row],[Resolution_Date]]-Table1[[#This Row],[Complaint_Date]])</f>
        <v xml:space="preserve"> </v>
      </c>
      <c r="L420" t="str">
        <f>TEXT(Table1[[#This Row],[Complaint_Date]],"MMM")</f>
        <v>Sep</v>
      </c>
      <c r="M420" t="str">
        <f>IF(Table1[[#This Row],[Resolution_Time_Hours]]&lt;=24,"Fast",IF(Table1[[#This Row],[Resolution_Time_Hours]]&lt;=72,"Medium","Slow"))</f>
        <v>Slow</v>
      </c>
    </row>
    <row r="421" spans="1:13" x14ac:dyDescent="0.3">
      <c r="A421" t="s">
        <v>1147</v>
      </c>
      <c r="B421" t="s">
        <v>1148</v>
      </c>
      <c r="C421" t="s">
        <v>48</v>
      </c>
      <c r="D421" t="s">
        <v>12</v>
      </c>
      <c r="E421" s="2" t="s">
        <v>806</v>
      </c>
      <c r="F421">
        <v>54</v>
      </c>
      <c r="G421" t="s">
        <v>14</v>
      </c>
      <c r="H421" s="2" t="s">
        <v>2820</v>
      </c>
      <c r="J421" t="str">
        <f>IF(Table1[[#This Row],[Resolution_Date]]="NA","Unresolved","Resolved")</f>
        <v>Unresolved</v>
      </c>
      <c r="K421" t="str">
        <f>IF(Table1[[#This Row],[Resolution_Date]]="NA"," ",Table1[[#This Row],[Resolution_Date]]-Table1[[#This Row],[Complaint_Date]])</f>
        <v xml:space="preserve"> </v>
      </c>
      <c r="L421" t="str">
        <f>TEXT(Table1[[#This Row],[Complaint_Date]],"MMM")</f>
        <v>Jul</v>
      </c>
      <c r="M421" t="str">
        <f>IF(Table1[[#This Row],[Resolution_Time_Hours]]&lt;=24,"Fast",IF(Table1[[#This Row],[Resolution_Time_Hours]]&lt;=72,"Medium","Slow"))</f>
        <v>Medium</v>
      </c>
    </row>
    <row r="422" spans="1:13" x14ac:dyDescent="0.3">
      <c r="A422" t="s">
        <v>1149</v>
      </c>
      <c r="B422" t="s">
        <v>1150</v>
      </c>
      <c r="C422" t="s">
        <v>110</v>
      </c>
      <c r="D422" t="s">
        <v>38</v>
      </c>
      <c r="E422" s="2" t="s">
        <v>264</v>
      </c>
      <c r="F422">
        <v>8</v>
      </c>
      <c r="G422" t="s">
        <v>20</v>
      </c>
      <c r="H422" s="2" t="s">
        <v>264</v>
      </c>
      <c r="I422">
        <v>4</v>
      </c>
      <c r="J422" t="str">
        <f>IF(Table1[[#This Row],[Resolution_Date]]="NA","Unresolved","Resolved")</f>
        <v>Resolved</v>
      </c>
      <c r="K422">
        <f>IF(Table1[[#This Row],[Resolution_Date]]="NA"," ",Table1[[#This Row],[Resolution_Date]]-Table1[[#This Row],[Complaint_Date]])</f>
        <v>0</v>
      </c>
      <c r="L422" t="str">
        <f>TEXT(Table1[[#This Row],[Complaint_Date]],"MMM")</f>
        <v>May</v>
      </c>
      <c r="M422" t="str">
        <f>IF(Table1[[#This Row],[Resolution_Time_Hours]]&lt;=24,"Fast",IF(Table1[[#This Row],[Resolution_Time_Hours]]&lt;=72,"Medium","Slow"))</f>
        <v>Fast</v>
      </c>
    </row>
    <row r="423" spans="1:13" x14ac:dyDescent="0.3">
      <c r="A423" t="s">
        <v>1151</v>
      </c>
      <c r="B423" t="s">
        <v>1152</v>
      </c>
      <c r="C423" t="s">
        <v>48</v>
      </c>
      <c r="D423" t="s">
        <v>12</v>
      </c>
      <c r="E423" s="2" t="s">
        <v>896</v>
      </c>
      <c r="F423">
        <v>26</v>
      </c>
      <c r="G423" t="s">
        <v>20</v>
      </c>
      <c r="H423" s="2" t="s">
        <v>875</v>
      </c>
      <c r="I423">
        <v>2</v>
      </c>
      <c r="J423" t="str">
        <f>IF(Table1[[#This Row],[Resolution_Date]]="NA","Unresolved","Resolved")</f>
        <v>Resolved</v>
      </c>
      <c r="K423">
        <f>IF(Table1[[#This Row],[Resolution_Date]]="NA"," ",Table1[[#This Row],[Resolution_Date]]-Table1[[#This Row],[Complaint_Date]])</f>
        <v>1</v>
      </c>
      <c r="L423" t="str">
        <f>TEXT(Table1[[#This Row],[Complaint_Date]],"MMM")</f>
        <v>Mar</v>
      </c>
      <c r="M423" t="str">
        <f>IF(Table1[[#This Row],[Resolution_Time_Hours]]&lt;=24,"Fast",IF(Table1[[#This Row],[Resolution_Time_Hours]]&lt;=72,"Medium","Slow"))</f>
        <v>Medium</v>
      </c>
    </row>
    <row r="424" spans="1:13" x14ac:dyDescent="0.3">
      <c r="A424" t="s">
        <v>1153</v>
      </c>
      <c r="B424" t="s">
        <v>1154</v>
      </c>
      <c r="C424" t="s">
        <v>11</v>
      </c>
      <c r="D424" t="s">
        <v>38</v>
      </c>
      <c r="E424" s="2" t="s">
        <v>449</v>
      </c>
      <c r="F424">
        <v>24</v>
      </c>
      <c r="G424" t="s">
        <v>20</v>
      </c>
      <c r="H424" s="2" t="s">
        <v>385</v>
      </c>
      <c r="I424">
        <v>3</v>
      </c>
      <c r="J424" t="str">
        <f>IF(Table1[[#This Row],[Resolution_Date]]="NA","Unresolved","Resolved")</f>
        <v>Resolved</v>
      </c>
      <c r="K424">
        <f>IF(Table1[[#This Row],[Resolution_Date]]="NA"," ",Table1[[#This Row],[Resolution_Date]]-Table1[[#This Row],[Complaint_Date]])</f>
        <v>1</v>
      </c>
      <c r="L424" t="str">
        <f>TEXT(Table1[[#This Row],[Complaint_Date]],"MMM")</f>
        <v>Jun</v>
      </c>
      <c r="M424" t="str">
        <f>IF(Table1[[#This Row],[Resolution_Time_Hours]]&lt;=24,"Fast",IF(Table1[[#This Row],[Resolution_Time_Hours]]&lt;=72,"Medium","Slow"))</f>
        <v>Fast</v>
      </c>
    </row>
    <row r="425" spans="1:13" x14ac:dyDescent="0.3">
      <c r="A425" t="s">
        <v>1155</v>
      </c>
      <c r="B425" t="s">
        <v>1156</v>
      </c>
      <c r="C425" t="s">
        <v>110</v>
      </c>
      <c r="D425" t="s">
        <v>27</v>
      </c>
      <c r="E425" s="2" t="s">
        <v>1058</v>
      </c>
      <c r="F425">
        <v>8</v>
      </c>
      <c r="G425" t="s">
        <v>20</v>
      </c>
      <c r="H425" s="2" t="s">
        <v>1058</v>
      </c>
      <c r="I425">
        <v>4</v>
      </c>
      <c r="J425" t="str">
        <f>IF(Table1[[#This Row],[Resolution_Date]]="NA","Unresolved","Resolved")</f>
        <v>Resolved</v>
      </c>
      <c r="K425">
        <f>IF(Table1[[#This Row],[Resolution_Date]]="NA"," ",Table1[[#This Row],[Resolution_Date]]-Table1[[#This Row],[Complaint_Date]])</f>
        <v>0</v>
      </c>
      <c r="L425" t="str">
        <f>TEXT(Table1[[#This Row],[Complaint_Date]],"MMM")</f>
        <v>Jan</v>
      </c>
      <c r="M425" t="str">
        <f>IF(Table1[[#This Row],[Resolution_Time_Hours]]&lt;=24,"Fast",IF(Table1[[#This Row],[Resolution_Time_Hours]]&lt;=72,"Medium","Slow"))</f>
        <v>Fast</v>
      </c>
    </row>
    <row r="426" spans="1:13" x14ac:dyDescent="0.3">
      <c r="A426" t="s">
        <v>1157</v>
      </c>
      <c r="B426" t="s">
        <v>1158</v>
      </c>
      <c r="C426" t="s">
        <v>53</v>
      </c>
      <c r="D426" t="s">
        <v>95</v>
      </c>
      <c r="E426" s="2" t="s">
        <v>1159</v>
      </c>
      <c r="F426">
        <v>10</v>
      </c>
      <c r="G426" t="s">
        <v>20</v>
      </c>
      <c r="H426" s="2" t="s">
        <v>1159</v>
      </c>
      <c r="I426">
        <v>4</v>
      </c>
      <c r="J426" t="str">
        <f>IF(Table1[[#This Row],[Resolution_Date]]="NA","Unresolved","Resolved")</f>
        <v>Resolved</v>
      </c>
      <c r="K426">
        <f>IF(Table1[[#This Row],[Resolution_Date]]="NA"," ",Table1[[#This Row],[Resolution_Date]]-Table1[[#This Row],[Complaint_Date]])</f>
        <v>0</v>
      </c>
      <c r="L426" t="str">
        <f>TEXT(Table1[[#This Row],[Complaint_Date]],"MMM")</f>
        <v>Nov</v>
      </c>
      <c r="M426" t="str">
        <f>IF(Table1[[#This Row],[Resolution_Time_Hours]]&lt;=24,"Fast",IF(Table1[[#This Row],[Resolution_Time_Hours]]&lt;=72,"Medium","Slow"))</f>
        <v>Fast</v>
      </c>
    </row>
    <row r="427" spans="1:13" x14ac:dyDescent="0.3">
      <c r="A427" t="s">
        <v>1160</v>
      </c>
      <c r="B427" t="s">
        <v>1161</v>
      </c>
      <c r="C427" t="s">
        <v>11</v>
      </c>
      <c r="D427" t="s">
        <v>27</v>
      </c>
      <c r="E427" s="2" t="s">
        <v>420</v>
      </c>
      <c r="F427">
        <v>28</v>
      </c>
      <c r="G427" t="s">
        <v>20</v>
      </c>
      <c r="H427" s="2" t="s">
        <v>991</v>
      </c>
      <c r="I427">
        <v>2</v>
      </c>
      <c r="J427" t="str">
        <f>IF(Table1[[#This Row],[Resolution_Date]]="NA","Unresolved","Resolved")</f>
        <v>Resolved</v>
      </c>
      <c r="K427">
        <f>IF(Table1[[#This Row],[Resolution_Date]]="NA"," ",Table1[[#This Row],[Resolution_Date]]-Table1[[#This Row],[Complaint_Date]])</f>
        <v>1</v>
      </c>
      <c r="L427" t="str">
        <f>TEXT(Table1[[#This Row],[Complaint_Date]],"MMM")</f>
        <v>Mar</v>
      </c>
      <c r="M427" t="str">
        <f>IF(Table1[[#This Row],[Resolution_Time_Hours]]&lt;=24,"Fast",IF(Table1[[#This Row],[Resolution_Time_Hours]]&lt;=72,"Medium","Slow"))</f>
        <v>Medium</v>
      </c>
    </row>
    <row r="428" spans="1:13" x14ac:dyDescent="0.3">
      <c r="A428" t="s">
        <v>1162</v>
      </c>
      <c r="B428" t="s">
        <v>1163</v>
      </c>
      <c r="C428" t="s">
        <v>48</v>
      </c>
      <c r="D428" t="s">
        <v>95</v>
      </c>
      <c r="E428" s="2" t="s">
        <v>1164</v>
      </c>
      <c r="F428">
        <v>35</v>
      </c>
      <c r="G428" t="s">
        <v>20</v>
      </c>
      <c r="H428" s="2" t="s">
        <v>654</v>
      </c>
      <c r="I428">
        <v>2</v>
      </c>
      <c r="J428" t="str">
        <f>IF(Table1[[#This Row],[Resolution_Date]]="NA","Unresolved","Resolved")</f>
        <v>Resolved</v>
      </c>
      <c r="K428">
        <f>IF(Table1[[#This Row],[Resolution_Date]]="NA"," ",Table1[[#This Row],[Resolution_Date]]-Table1[[#This Row],[Complaint_Date]])</f>
        <v>1</v>
      </c>
      <c r="L428" t="str">
        <f>TEXT(Table1[[#This Row],[Complaint_Date]],"MMM")</f>
        <v>Dec</v>
      </c>
      <c r="M428" t="str">
        <f>IF(Table1[[#This Row],[Resolution_Time_Hours]]&lt;=24,"Fast",IF(Table1[[#This Row],[Resolution_Time_Hours]]&lt;=72,"Medium","Slow"))</f>
        <v>Medium</v>
      </c>
    </row>
    <row r="429" spans="1:13" x14ac:dyDescent="0.3">
      <c r="A429" t="s">
        <v>1165</v>
      </c>
      <c r="B429" t="s">
        <v>1166</v>
      </c>
      <c r="C429" t="s">
        <v>53</v>
      </c>
      <c r="D429" t="s">
        <v>95</v>
      </c>
      <c r="E429" s="2" t="s">
        <v>1070</v>
      </c>
      <c r="F429">
        <v>12</v>
      </c>
      <c r="G429" t="s">
        <v>14</v>
      </c>
      <c r="H429" s="2" t="s">
        <v>2820</v>
      </c>
      <c r="J429" t="str">
        <f>IF(Table1[[#This Row],[Resolution_Date]]="NA","Unresolved","Resolved")</f>
        <v>Unresolved</v>
      </c>
      <c r="K429" t="str">
        <f>IF(Table1[[#This Row],[Resolution_Date]]="NA"," ",Table1[[#This Row],[Resolution_Date]]-Table1[[#This Row],[Complaint_Date]])</f>
        <v xml:space="preserve"> </v>
      </c>
      <c r="L429" t="str">
        <f>TEXT(Table1[[#This Row],[Complaint_Date]],"MMM")</f>
        <v>Aug</v>
      </c>
      <c r="M429" t="str">
        <f>IF(Table1[[#This Row],[Resolution_Time_Hours]]&lt;=24,"Fast",IF(Table1[[#This Row],[Resolution_Time_Hours]]&lt;=72,"Medium","Slow"))</f>
        <v>Fast</v>
      </c>
    </row>
    <row r="430" spans="1:13" x14ac:dyDescent="0.3">
      <c r="A430" t="s">
        <v>1167</v>
      </c>
      <c r="B430" t="s">
        <v>1168</v>
      </c>
      <c r="C430" t="s">
        <v>43</v>
      </c>
      <c r="D430" t="s">
        <v>18</v>
      </c>
      <c r="E430" s="2" t="s">
        <v>86</v>
      </c>
      <c r="F430">
        <v>60</v>
      </c>
      <c r="G430" t="s">
        <v>20</v>
      </c>
      <c r="H430" s="2" t="s">
        <v>124</v>
      </c>
      <c r="I430">
        <v>1</v>
      </c>
      <c r="J430" t="str">
        <f>IF(Table1[[#This Row],[Resolution_Date]]="NA","Unresolved","Resolved")</f>
        <v>Resolved</v>
      </c>
      <c r="K430">
        <f>IF(Table1[[#This Row],[Resolution_Date]]="NA"," ",Table1[[#This Row],[Resolution_Date]]-Table1[[#This Row],[Complaint_Date]])</f>
        <v>2</v>
      </c>
      <c r="L430" t="str">
        <f>TEXT(Table1[[#This Row],[Complaint_Date]],"MMM")</f>
        <v>Mar</v>
      </c>
      <c r="M430" t="str">
        <f>IF(Table1[[#This Row],[Resolution_Time_Hours]]&lt;=24,"Fast",IF(Table1[[#This Row],[Resolution_Time_Hours]]&lt;=72,"Medium","Slow"))</f>
        <v>Medium</v>
      </c>
    </row>
    <row r="431" spans="1:13" x14ac:dyDescent="0.3">
      <c r="A431" t="s">
        <v>1169</v>
      </c>
      <c r="B431" t="s">
        <v>1170</v>
      </c>
      <c r="C431" t="s">
        <v>53</v>
      </c>
      <c r="D431" t="s">
        <v>95</v>
      </c>
      <c r="E431" s="2" t="s">
        <v>480</v>
      </c>
      <c r="F431">
        <v>6</v>
      </c>
      <c r="G431" t="s">
        <v>20</v>
      </c>
      <c r="H431" s="2" t="s">
        <v>480</v>
      </c>
      <c r="I431">
        <v>5</v>
      </c>
      <c r="J431" t="str">
        <f>IF(Table1[[#This Row],[Resolution_Date]]="NA","Unresolved","Resolved")</f>
        <v>Resolved</v>
      </c>
      <c r="K431">
        <f>IF(Table1[[#This Row],[Resolution_Date]]="NA"," ",Table1[[#This Row],[Resolution_Date]]-Table1[[#This Row],[Complaint_Date]])</f>
        <v>0</v>
      </c>
      <c r="L431" t="str">
        <f>TEXT(Table1[[#This Row],[Complaint_Date]],"MMM")</f>
        <v>Sep</v>
      </c>
      <c r="M431" t="str">
        <f>IF(Table1[[#This Row],[Resolution_Time_Hours]]&lt;=24,"Fast",IF(Table1[[#This Row],[Resolution_Time_Hours]]&lt;=72,"Medium","Slow"))</f>
        <v>Fast</v>
      </c>
    </row>
    <row r="432" spans="1:13" x14ac:dyDescent="0.3">
      <c r="A432" t="s">
        <v>1171</v>
      </c>
      <c r="B432" t="s">
        <v>1172</v>
      </c>
      <c r="C432" t="s">
        <v>17</v>
      </c>
      <c r="D432" t="s">
        <v>38</v>
      </c>
      <c r="E432" s="2" t="s">
        <v>1173</v>
      </c>
      <c r="F432">
        <v>10</v>
      </c>
      <c r="G432" t="s">
        <v>20</v>
      </c>
      <c r="H432" s="2" t="s">
        <v>1173</v>
      </c>
      <c r="I432">
        <v>4</v>
      </c>
      <c r="J432" t="str">
        <f>IF(Table1[[#This Row],[Resolution_Date]]="NA","Unresolved","Resolved")</f>
        <v>Resolved</v>
      </c>
      <c r="K432">
        <f>IF(Table1[[#This Row],[Resolution_Date]]="NA"," ",Table1[[#This Row],[Resolution_Date]]-Table1[[#This Row],[Complaint_Date]])</f>
        <v>0</v>
      </c>
      <c r="L432" t="str">
        <f>TEXT(Table1[[#This Row],[Complaint_Date]],"MMM")</f>
        <v>Dec</v>
      </c>
      <c r="M432" t="str">
        <f>IF(Table1[[#This Row],[Resolution_Time_Hours]]&lt;=24,"Fast",IF(Table1[[#This Row],[Resolution_Time_Hours]]&lt;=72,"Medium","Slow"))</f>
        <v>Fast</v>
      </c>
    </row>
    <row r="433" spans="1:13" x14ac:dyDescent="0.3">
      <c r="A433" t="s">
        <v>1174</v>
      </c>
      <c r="B433" t="s">
        <v>1175</v>
      </c>
      <c r="C433" t="s">
        <v>34</v>
      </c>
      <c r="D433" t="s">
        <v>27</v>
      </c>
      <c r="E433" s="2" t="s">
        <v>501</v>
      </c>
      <c r="F433">
        <v>54</v>
      </c>
      <c r="G433" t="s">
        <v>14</v>
      </c>
      <c r="H433" s="2" t="s">
        <v>2820</v>
      </c>
      <c r="J433" t="str">
        <f>IF(Table1[[#This Row],[Resolution_Date]]="NA","Unresolved","Resolved")</f>
        <v>Unresolved</v>
      </c>
      <c r="K433" t="str">
        <f>IF(Table1[[#This Row],[Resolution_Date]]="NA"," ",Table1[[#This Row],[Resolution_Date]]-Table1[[#This Row],[Complaint_Date]])</f>
        <v xml:space="preserve"> </v>
      </c>
      <c r="L433" t="str">
        <f>TEXT(Table1[[#This Row],[Complaint_Date]],"MMM")</f>
        <v>Jun</v>
      </c>
      <c r="M433" t="str">
        <f>IF(Table1[[#This Row],[Resolution_Time_Hours]]&lt;=24,"Fast",IF(Table1[[#This Row],[Resolution_Time_Hours]]&lt;=72,"Medium","Slow"))</f>
        <v>Medium</v>
      </c>
    </row>
    <row r="434" spans="1:13" x14ac:dyDescent="0.3">
      <c r="A434" t="s">
        <v>1176</v>
      </c>
      <c r="B434" t="s">
        <v>1177</v>
      </c>
      <c r="C434" t="s">
        <v>48</v>
      </c>
      <c r="D434" t="s">
        <v>18</v>
      </c>
      <c r="E434" s="2" t="s">
        <v>217</v>
      </c>
      <c r="F434">
        <v>14</v>
      </c>
      <c r="G434" t="s">
        <v>20</v>
      </c>
      <c r="H434" s="2" t="s">
        <v>217</v>
      </c>
      <c r="I434">
        <v>3</v>
      </c>
      <c r="J434" t="str">
        <f>IF(Table1[[#This Row],[Resolution_Date]]="NA","Unresolved","Resolved")</f>
        <v>Resolved</v>
      </c>
      <c r="K434">
        <f>IF(Table1[[#This Row],[Resolution_Date]]="NA"," ",Table1[[#This Row],[Resolution_Date]]-Table1[[#This Row],[Complaint_Date]])</f>
        <v>0</v>
      </c>
      <c r="L434" t="str">
        <f>TEXT(Table1[[#This Row],[Complaint_Date]],"MMM")</f>
        <v>Dec</v>
      </c>
      <c r="M434" t="str">
        <f>IF(Table1[[#This Row],[Resolution_Time_Hours]]&lt;=24,"Fast",IF(Table1[[#This Row],[Resolution_Time_Hours]]&lt;=72,"Medium","Slow"))</f>
        <v>Fast</v>
      </c>
    </row>
    <row r="435" spans="1:13" x14ac:dyDescent="0.3">
      <c r="A435" t="s">
        <v>1178</v>
      </c>
      <c r="B435" t="s">
        <v>1179</v>
      </c>
      <c r="C435" t="s">
        <v>70</v>
      </c>
      <c r="D435" t="s">
        <v>95</v>
      </c>
      <c r="E435" s="2" t="s">
        <v>133</v>
      </c>
      <c r="F435">
        <v>4</v>
      </c>
      <c r="G435" t="s">
        <v>20</v>
      </c>
      <c r="H435" s="2" t="s">
        <v>133</v>
      </c>
      <c r="I435">
        <v>5</v>
      </c>
      <c r="J435" t="str">
        <f>IF(Table1[[#This Row],[Resolution_Date]]="NA","Unresolved","Resolved")</f>
        <v>Resolved</v>
      </c>
      <c r="K435">
        <f>IF(Table1[[#This Row],[Resolution_Date]]="NA"," ",Table1[[#This Row],[Resolution_Date]]-Table1[[#This Row],[Complaint_Date]])</f>
        <v>0</v>
      </c>
      <c r="L435" t="str">
        <f>TEXT(Table1[[#This Row],[Complaint_Date]],"MMM")</f>
        <v>Jun</v>
      </c>
      <c r="M435" t="str">
        <f>IF(Table1[[#This Row],[Resolution_Time_Hours]]&lt;=24,"Fast",IF(Table1[[#This Row],[Resolution_Time_Hours]]&lt;=72,"Medium","Slow"))</f>
        <v>Fast</v>
      </c>
    </row>
    <row r="436" spans="1:13" x14ac:dyDescent="0.3">
      <c r="A436" t="s">
        <v>1180</v>
      </c>
      <c r="B436" t="s">
        <v>1181</v>
      </c>
      <c r="C436" t="s">
        <v>110</v>
      </c>
      <c r="D436" t="s">
        <v>27</v>
      </c>
      <c r="E436" s="2" t="s">
        <v>217</v>
      </c>
      <c r="F436">
        <v>15</v>
      </c>
      <c r="G436" t="s">
        <v>14</v>
      </c>
      <c r="H436" s="2" t="s">
        <v>2820</v>
      </c>
      <c r="J436" t="str">
        <f>IF(Table1[[#This Row],[Resolution_Date]]="NA","Unresolved","Resolved")</f>
        <v>Unresolved</v>
      </c>
      <c r="K436" t="str">
        <f>IF(Table1[[#This Row],[Resolution_Date]]="NA"," ",Table1[[#This Row],[Resolution_Date]]-Table1[[#This Row],[Complaint_Date]])</f>
        <v xml:space="preserve"> </v>
      </c>
      <c r="L436" t="str">
        <f>TEXT(Table1[[#This Row],[Complaint_Date]],"MMM")</f>
        <v>Dec</v>
      </c>
      <c r="M436" t="str">
        <f>IF(Table1[[#This Row],[Resolution_Time_Hours]]&lt;=24,"Fast",IF(Table1[[#This Row],[Resolution_Time_Hours]]&lt;=72,"Medium","Slow"))</f>
        <v>Fast</v>
      </c>
    </row>
    <row r="437" spans="1:13" x14ac:dyDescent="0.3">
      <c r="A437" t="s">
        <v>1182</v>
      </c>
      <c r="B437" t="s">
        <v>1183</v>
      </c>
      <c r="C437" t="s">
        <v>17</v>
      </c>
      <c r="D437" t="s">
        <v>12</v>
      </c>
      <c r="E437" s="2" t="s">
        <v>994</v>
      </c>
      <c r="F437">
        <v>18</v>
      </c>
      <c r="G437" t="s">
        <v>20</v>
      </c>
      <c r="H437" s="2" t="s">
        <v>994</v>
      </c>
      <c r="I437">
        <v>5</v>
      </c>
      <c r="J437" t="str">
        <f>IF(Table1[[#This Row],[Resolution_Date]]="NA","Unresolved","Resolved")</f>
        <v>Resolved</v>
      </c>
      <c r="K437">
        <f>IF(Table1[[#This Row],[Resolution_Date]]="NA"," ",Table1[[#This Row],[Resolution_Date]]-Table1[[#This Row],[Complaint_Date]])</f>
        <v>0</v>
      </c>
      <c r="L437" t="str">
        <f>TEXT(Table1[[#This Row],[Complaint_Date]],"MMM")</f>
        <v>Dec</v>
      </c>
      <c r="M437" t="str">
        <f>IF(Table1[[#This Row],[Resolution_Time_Hours]]&lt;=24,"Fast",IF(Table1[[#This Row],[Resolution_Time_Hours]]&lt;=72,"Medium","Slow"))</f>
        <v>Fast</v>
      </c>
    </row>
    <row r="438" spans="1:13" x14ac:dyDescent="0.3">
      <c r="A438" t="s">
        <v>1184</v>
      </c>
      <c r="B438" t="s">
        <v>1185</v>
      </c>
      <c r="C438" t="s">
        <v>53</v>
      </c>
      <c r="D438" t="s">
        <v>95</v>
      </c>
      <c r="E438" s="2" t="s">
        <v>373</v>
      </c>
      <c r="F438">
        <v>8</v>
      </c>
      <c r="G438" t="s">
        <v>14</v>
      </c>
      <c r="H438" s="2" t="s">
        <v>2820</v>
      </c>
      <c r="J438" t="str">
        <f>IF(Table1[[#This Row],[Resolution_Date]]="NA","Unresolved","Resolved")</f>
        <v>Unresolved</v>
      </c>
      <c r="K438" t="str">
        <f>IF(Table1[[#This Row],[Resolution_Date]]="NA"," ",Table1[[#This Row],[Resolution_Date]]-Table1[[#This Row],[Complaint_Date]])</f>
        <v xml:space="preserve"> </v>
      </c>
      <c r="L438" t="str">
        <f>TEXT(Table1[[#This Row],[Complaint_Date]],"MMM")</f>
        <v>Sep</v>
      </c>
      <c r="M438" t="str">
        <f>IF(Table1[[#This Row],[Resolution_Time_Hours]]&lt;=24,"Fast",IF(Table1[[#This Row],[Resolution_Time_Hours]]&lt;=72,"Medium","Slow"))</f>
        <v>Fast</v>
      </c>
    </row>
    <row r="439" spans="1:13" x14ac:dyDescent="0.3">
      <c r="A439" t="s">
        <v>1186</v>
      </c>
      <c r="B439" t="s">
        <v>1187</v>
      </c>
      <c r="C439" t="s">
        <v>53</v>
      </c>
      <c r="D439" t="s">
        <v>18</v>
      </c>
      <c r="E439" s="2" t="s">
        <v>1188</v>
      </c>
      <c r="F439">
        <v>11</v>
      </c>
      <c r="G439" t="s">
        <v>20</v>
      </c>
      <c r="H439" s="2" t="s">
        <v>1188</v>
      </c>
      <c r="I439">
        <v>4</v>
      </c>
      <c r="J439" t="str">
        <f>IF(Table1[[#This Row],[Resolution_Date]]="NA","Unresolved","Resolved")</f>
        <v>Resolved</v>
      </c>
      <c r="K439">
        <f>IF(Table1[[#This Row],[Resolution_Date]]="NA"," ",Table1[[#This Row],[Resolution_Date]]-Table1[[#This Row],[Complaint_Date]])</f>
        <v>0</v>
      </c>
      <c r="L439" t="str">
        <f>TEXT(Table1[[#This Row],[Complaint_Date]],"MMM")</f>
        <v>May</v>
      </c>
      <c r="M439" t="str">
        <f>IF(Table1[[#This Row],[Resolution_Time_Hours]]&lt;=24,"Fast",IF(Table1[[#This Row],[Resolution_Time_Hours]]&lt;=72,"Medium","Slow"))</f>
        <v>Fast</v>
      </c>
    </row>
    <row r="440" spans="1:13" x14ac:dyDescent="0.3">
      <c r="A440" t="s">
        <v>1189</v>
      </c>
      <c r="B440" t="s">
        <v>1190</v>
      </c>
      <c r="C440" t="s">
        <v>110</v>
      </c>
      <c r="D440" t="s">
        <v>18</v>
      </c>
      <c r="E440" s="2" t="s">
        <v>57</v>
      </c>
      <c r="F440">
        <v>13</v>
      </c>
      <c r="G440" t="s">
        <v>40</v>
      </c>
      <c r="H440" s="2" t="s">
        <v>2820</v>
      </c>
      <c r="J440" t="str">
        <f>IF(Table1[[#This Row],[Resolution_Date]]="NA","Unresolved","Resolved")</f>
        <v>Unresolved</v>
      </c>
      <c r="K440" t="str">
        <f>IF(Table1[[#This Row],[Resolution_Date]]="NA"," ",Table1[[#This Row],[Resolution_Date]]-Table1[[#This Row],[Complaint_Date]])</f>
        <v xml:space="preserve"> </v>
      </c>
      <c r="L440" t="str">
        <f>TEXT(Table1[[#This Row],[Complaint_Date]],"MMM")</f>
        <v>Jan</v>
      </c>
      <c r="M440" t="str">
        <f>IF(Table1[[#This Row],[Resolution_Time_Hours]]&lt;=24,"Fast",IF(Table1[[#This Row],[Resolution_Time_Hours]]&lt;=72,"Medium","Slow"))</f>
        <v>Fast</v>
      </c>
    </row>
    <row r="441" spans="1:13" x14ac:dyDescent="0.3">
      <c r="A441" t="s">
        <v>1191</v>
      </c>
      <c r="B441" t="s">
        <v>1192</v>
      </c>
      <c r="C441" t="s">
        <v>48</v>
      </c>
      <c r="D441" t="s">
        <v>95</v>
      </c>
      <c r="E441" s="2" t="s">
        <v>201</v>
      </c>
      <c r="F441">
        <v>49</v>
      </c>
      <c r="G441" t="s">
        <v>14</v>
      </c>
      <c r="H441" s="2" t="s">
        <v>2820</v>
      </c>
      <c r="J441" t="str">
        <f>IF(Table1[[#This Row],[Resolution_Date]]="NA","Unresolved","Resolved")</f>
        <v>Unresolved</v>
      </c>
      <c r="K441" t="str">
        <f>IF(Table1[[#This Row],[Resolution_Date]]="NA"," ",Table1[[#This Row],[Resolution_Date]]-Table1[[#This Row],[Complaint_Date]])</f>
        <v xml:space="preserve"> </v>
      </c>
      <c r="L441" t="str">
        <f>TEXT(Table1[[#This Row],[Complaint_Date]],"MMM")</f>
        <v>Aug</v>
      </c>
      <c r="M441" t="str">
        <f>IF(Table1[[#This Row],[Resolution_Time_Hours]]&lt;=24,"Fast",IF(Table1[[#This Row],[Resolution_Time_Hours]]&lt;=72,"Medium","Slow"))</f>
        <v>Medium</v>
      </c>
    </row>
    <row r="442" spans="1:13" x14ac:dyDescent="0.3">
      <c r="A442" t="s">
        <v>1193</v>
      </c>
      <c r="B442" t="s">
        <v>1194</v>
      </c>
      <c r="C442" t="s">
        <v>110</v>
      </c>
      <c r="D442" t="s">
        <v>38</v>
      </c>
      <c r="E442" s="2" t="s">
        <v>788</v>
      </c>
      <c r="F442">
        <v>2</v>
      </c>
      <c r="G442" t="s">
        <v>14</v>
      </c>
      <c r="H442" s="2" t="s">
        <v>2820</v>
      </c>
      <c r="J442" t="str">
        <f>IF(Table1[[#This Row],[Resolution_Date]]="NA","Unresolved","Resolved")</f>
        <v>Unresolved</v>
      </c>
      <c r="K442" t="str">
        <f>IF(Table1[[#This Row],[Resolution_Date]]="NA"," ",Table1[[#This Row],[Resolution_Date]]-Table1[[#This Row],[Complaint_Date]])</f>
        <v xml:space="preserve"> </v>
      </c>
      <c r="L442" t="str">
        <f>TEXT(Table1[[#This Row],[Complaint_Date]],"MMM")</f>
        <v>Jan</v>
      </c>
      <c r="M442" t="str">
        <f>IF(Table1[[#This Row],[Resolution_Time_Hours]]&lt;=24,"Fast",IF(Table1[[#This Row],[Resolution_Time_Hours]]&lt;=72,"Medium","Slow"))</f>
        <v>Fast</v>
      </c>
    </row>
    <row r="443" spans="1:13" x14ac:dyDescent="0.3">
      <c r="A443" t="s">
        <v>1195</v>
      </c>
      <c r="B443" t="s">
        <v>1196</v>
      </c>
      <c r="C443" t="s">
        <v>53</v>
      </c>
      <c r="D443" t="s">
        <v>12</v>
      </c>
      <c r="E443" s="2" t="s">
        <v>1197</v>
      </c>
      <c r="F443">
        <v>3</v>
      </c>
      <c r="G443" t="s">
        <v>20</v>
      </c>
      <c r="H443" s="2" t="s">
        <v>1197</v>
      </c>
      <c r="I443">
        <v>5</v>
      </c>
      <c r="J443" t="str">
        <f>IF(Table1[[#This Row],[Resolution_Date]]="NA","Unresolved","Resolved")</f>
        <v>Resolved</v>
      </c>
      <c r="K443">
        <f>IF(Table1[[#This Row],[Resolution_Date]]="NA"," ",Table1[[#This Row],[Resolution_Date]]-Table1[[#This Row],[Complaint_Date]])</f>
        <v>0</v>
      </c>
      <c r="L443" t="str">
        <f>TEXT(Table1[[#This Row],[Complaint_Date]],"MMM")</f>
        <v>Aug</v>
      </c>
      <c r="M443" t="str">
        <f>IF(Table1[[#This Row],[Resolution_Time_Hours]]&lt;=24,"Fast",IF(Table1[[#This Row],[Resolution_Time_Hours]]&lt;=72,"Medium","Slow"))</f>
        <v>Fast</v>
      </c>
    </row>
    <row r="444" spans="1:13" x14ac:dyDescent="0.3">
      <c r="A444" t="s">
        <v>1198</v>
      </c>
      <c r="B444" t="s">
        <v>1199</v>
      </c>
      <c r="C444" t="s">
        <v>34</v>
      </c>
      <c r="D444" t="s">
        <v>18</v>
      </c>
      <c r="E444" s="2" t="s">
        <v>1080</v>
      </c>
      <c r="F444">
        <v>42</v>
      </c>
      <c r="G444" t="s">
        <v>20</v>
      </c>
      <c r="H444" s="2" t="s">
        <v>255</v>
      </c>
      <c r="I444">
        <v>2</v>
      </c>
      <c r="J444" t="str">
        <f>IF(Table1[[#This Row],[Resolution_Date]]="NA","Unresolved","Resolved")</f>
        <v>Resolved</v>
      </c>
      <c r="K444">
        <f>IF(Table1[[#This Row],[Resolution_Date]]="NA"," ",Table1[[#This Row],[Resolution_Date]]-Table1[[#This Row],[Complaint_Date]])</f>
        <v>1</v>
      </c>
      <c r="L444" t="str">
        <f>TEXT(Table1[[#This Row],[Complaint_Date]],"MMM")</f>
        <v>Feb</v>
      </c>
      <c r="M444" t="str">
        <f>IF(Table1[[#This Row],[Resolution_Time_Hours]]&lt;=24,"Fast",IF(Table1[[#This Row],[Resolution_Time_Hours]]&lt;=72,"Medium","Slow"))</f>
        <v>Medium</v>
      </c>
    </row>
    <row r="445" spans="1:13" x14ac:dyDescent="0.3">
      <c r="A445" t="s">
        <v>1200</v>
      </c>
      <c r="B445" t="s">
        <v>1201</v>
      </c>
      <c r="C445" t="s">
        <v>110</v>
      </c>
      <c r="D445" t="s">
        <v>12</v>
      </c>
      <c r="E445" s="2" t="s">
        <v>1188</v>
      </c>
      <c r="F445">
        <v>13</v>
      </c>
      <c r="G445" t="s">
        <v>40</v>
      </c>
      <c r="H445" s="2" t="s">
        <v>2820</v>
      </c>
      <c r="J445" t="str">
        <f>IF(Table1[[#This Row],[Resolution_Date]]="NA","Unresolved","Resolved")</f>
        <v>Unresolved</v>
      </c>
      <c r="K445" t="str">
        <f>IF(Table1[[#This Row],[Resolution_Date]]="NA"," ",Table1[[#This Row],[Resolution_Date]]-Table1[[#This Row],[Complaint_Date]])</f>
        <v xml:space="preserve"> </v>
      </c>
      <c r="L445" t="str">
        <f>TEXT(Table1[[#This Row],[Complaint_Date]],"MMM")</f>
        <v>May</v>
      </c>
      <c r="M445" t="str">
        <f>IF(Table1[[#This Row],[Resolution_Time_Hours]]&lt;=24,"Fast",IF(Table1[[#This Row],[Resolution_Time_Hours]]&lt;=72,"Medium","Slow"))</f>
        <v>Fast</v>
      </c>
    </row>
    <row r="446" spans="1:13" x14ac:dyDescent="0.3">
      <c r="A446" t="s">
        <v>1202</v>
      </c>
      <c r="B446" t="s">
        <v>1203</v>
      </c>
      <c r="C446" t="s">
        <v>70</v>
      </c>
      <c r="D446" t="s">
        <v>38</v>
      </c>
      <c r="E446" s="2" t="s">
        <v>738</v>
      </c>
      <c r="F446">
        <v>11</v>
      </c>
      <c r="G446" t="s">
        <v>20</v>
      </c>
      <c r="H446" s="2" t="s">
        <v>738</v>
      </c>
      <c r="I446">
        <v>4</v>
      </c>
      <c r="J446" t="str">
        <f>IF(Table1[[#This Row],[Resolution_Date]]="NA","Unresolved","Resolved")</f>
        <v>Resolved</v>
      </c>
      <c r="K446">
        <f>IF(Table1[[#This Row],[Resolution_Date]]="NA"," ",Table1[[#This Row],[Resolution_Date]]-Table1[[#This Row],[Complaint_Date]])</f>
        <v>0</v>
      </c>
      <c r="L446" t="str">
        <f>TEXT(Table1[[#This Row],[Complaint_Date]],"MMM")</f>
        <v>Feb</v>
      </c>
      <c r="M446" t="str">
        <f>IF(Table1[[#This Row],[Resolution_Time_Hours]]&lt;=24,"Fast",IF(Table1[[#This Row],[Resolution_Time_Hours]]&lt;=72,"Medium","Slow"))</f>
        <v>Fast</v>
      </c>
    </row>
    <row r="447" spans="1:13" x14ac:dyDescent="0.3">
      <c r="A447" t="s">
        <v>1204</v>
      </c>
      <c r="B447" t="s">
        <v>1205</v>
      </c>
      <c r="C447" t="s">
        <v>70</v>
      </c>
      <c r="D447" t="s">
        <v>95</v>
      </c>
      <c r="E447" s="2" t="s">
        <v>156</v>
      </c>
      <c r="F447">
        <v>17</v>
      </c>
      <c r="G447" t="s">
        <v>20</v>
      </c>
      <c r="H447" s="2" t="s">
        <v>156</v>
      </c>
      <c r="I447">
        <v>3</v>
      </c>
      <c r="J447" t="str">
        <f>IF(Table1[[#This Row],[Resolution_Date]]="NA","Unresolved","Resolved")</f>
        <v>Resolved</v>
      </c>
      <c r="K447">
        <f>IF(Table1[[#This Row],[Resolution_Date]]="NA"," ",Table1[[#This Row],[Resolution_Date]]-Table1[[#This Row],[Complaint_Date]])</f>
        <v>0</v>
      </c>
      <c r="L447" t="str">
        <f>TEXT(Table1[[#This Row],[Complaint_Date]],"MMM")</f>
        <v>Oct</v>
      </c>
      <c r="M447" t="str">
        <f>IF(Table1[[#This Row],[Resolution_Time_Hours]]&lt;=24,"Fast",IF(Table1[[#This Row],[Resolution_Time_Hours]]&lt;=72,"Medium","Slow"))</f>
        <v>Fast</v>
      </c>
    </row>
    <row r="448" spans="1:13" x14ac:dyDescent="0.3">
      <c r="A448" t="s">
        <v>1206</v>
      </c>
      <c r="B448" t="s">
        <v>1207</v>
      </c>
      <c r="C448" t="s">
        <v>48</v>
      </c>
      <c r="D448" t="s">
        <v>12</v>
      </c>
      <c r="E448" s="2" t="s">
        <v>1208</v>
      </c>
      <c r="F448">
        <v>38</v>
      </c>
      <c r="G448" t="s">
        <v>20</v>
      </c>
      <c r="H448" s="2" t="s">
        <v>1209</v>
      </c>
      <c r="I448">
        <v>2</v>
      </c>
      <c r="J448" t="str">
        <f>IF(Table1[[#This Row],[Resolution_Date]]="NA","Unresolved","Resolved")</f>
        <v>Resolved</v>
      </c>
      <c r="K448">
        <f>IF(Table1[[#This Row],[Resolution_Date]]="NA"," ",Table1[[#This Row],[Resolution_Date]]-Table1[[#This Row],[Complaint_Date]])</f>
        <v>1</v>
      </c>
      <c r="L448" t="str">
        <f>TEXT(Table1[[#This Row],[Complaint_Date]],"MMM")</f>
        <v>Jul</v>
      </c>
      <c r="M448" t="str">
        <f>IF(Table1[[#This Row],[Resolution_Time_Hours]]&lt;=24,"Fast",IF(Table1[[#This Row],[Resolution_Time_Hours]]&lt;=72,"Medium","Slow"))</f>
        <v>Medium</v>
      </c>
    </row>
    <row r="449" spans="1:13" x14ac:dyDescent="0.3">
      <c r="A449" t="s">
        <v>1210</v>
      </c>
      <c r="B449" t="s">
        <v>1211</v>
      </c>
      <c r="C449" t="s">
        <v>110</v>
      </c>
      <c r="D449" t="s">
        <v>27</v>
      </c>
      <c r="E449" s="2" t="s">
        <v>241</v>
      </c>
      <c r="F449">
        <v>6</v>
      </c>
      <c r="G449" t="s">
        <v>20</v>
      </c>
      <c r="H449" s="2" t="s">
        <v>241</v>
      </c>
      <c r="I449">
        <v>5</v>
      </c>
      <c r="J449" t="str">
        <f>IF(Table1[[#This Row],[Resolution_Date]]="NA","Unresolved","Resolved")</f>
        <v>Resolved</v>
      </c>
      <c r="K449">
        <f>IF(Table1[[#This Row],[Resolution_Date]]="NA"," ",Table1[[#This Row],[Resolution_Date]]-Table1[[#This Row],[Complaint_Date]])</f>
        <v>0</v>
      </c>
      <c r="L449" t="str">
        <f>TEXT(Table1[[#This Row],[Complaint_Date]],"MMM")</f>
        <v>Jun</v>
      </c>
      <c r="M449" t="str">
        <f>IF(Table1[[#This Row],[Resolution_Time_Hours]]&lt;=24,"Fast",IF(Table1[[#This Row],[Resolution_Time_Hours]]&lt;=72,"Medium","Slow"))</f>
        <v>Fast</v>
      </c>
    </row>
    <row r="450" spans="1:13" x14ac:dyDescent="0.3">
      <c r="A450" t="s">
        <v>1212</v>
      </c>
      <c r="B450" t="s">
        <v>1213</v>
      </c>
      <c r="C450" t="s">
        <v>70</v>
      </c>
      <c r="D450" t="s">
        <v>27</v>
      </c>
      <c r="E450" s="2" t="s">
        <v>1140</v>
      </c>
      <c r="F450">
        <v>21</v>
      </c>
      <c r="G450" t="s">
        <v>14</v>
      </c>
      <c r="H450" s="2" t="s">
        <v>2820</v>
      </c>
      <c r="J450" t="str">
        <f>IF(Table1[[#This Row],[Resolution_Date]]="NA","Unresolved","Resolved")</f>
        <v>Unresolved</v>
      </c>
      <c r="K450" t="str">
        <f>IF(Table1[[#This Row],[Resolution_Date]]="NA"," ",Table1[[#This Row],[Resolution_Date]]-Table1[[#This Row],[Complaint_Date]])</f>
        <v xml:space="preserve"> </v>
      </c>
      <c r="L450" t="str">
        <f>TEXT(Table1[[#This Row],[Complaint_Date]],"MMM")</f>
        <v>Aug</v>
      </c>
      <c r="M450" t="str">
        <f>IF(Table1[[#This Row],[Resolution_Time_Hours]]&lt;=24,"Fast",IF(Table1[[#This Row],[Resolution_Time_Hours]]&lt;=72,"Medium","Slow"))</f>
        <v>Fast</v>
      </c>
    </row>
    <row r="451" spans="1:13" x14ac:dyDescent="0.3">
      <c r="A451" t="s">
        <v>1214</v>
      </c>
      <c r="B451" t="s">
        <v>1215</v>
      </c>
      <c r="C451" t="s">
        <v>48</v>
      </c>
      <c r="D451" t="s">
        <v>27</v>
      </c>
      <c r="E451" s="2" t="s">
        <v>608</v>
      </c>
      <c r="F451">
        <v>16</v>
      </c>
      <c r="G451" t="s">
        <v>20</v>
      </c>
      <c r="H451" s="2" t="s">
        <v>608</v>
      </c>
      <c r="I451">
        <v>5</v>
      </c>
      <c r="J451" t="str">
        <f>IF(Table1[[#This Row],[Resolution_Date]]="NA","Unresolved","Resolved")</f>
        <v>Resolved</v>
      </c>
      <c r="K451">
        <f>IF(Table1[[#This Row],[Resolution_Date]]="NA"," ",Table1[[#This Row],[Resolution_Date]]-Table1[[#This Row],[Complaint_Date]])</f>
        <v>0</v>
      </c>
      <c r="L451" t="str">
        <f>TEXT(Table1[[#This Row],[Complaint_Date]],"MMM")</f>
        <v>Aug</v>
      </c>
      <c r="M451" t="str">
        <f>IF(Table1[[#This Row],[Resolution_Time_Hours]]&lt;=24,"Fast",IF(Table1[[#This Row],[Resolution_Time_Hours]]&lt;=72,"Medium","Slow"))</f>
        <v>Fast</v>
      </c>
    </row>
    <row r="452" spans="1:13" x14ac:dyDescent="0.3">
      <c r="A452" t="s">
        <v>1216</v>
      </c>
      <c r="B452" t="s">
        <v>1217</v>
      </c>
      <c r="C452" t="s">
        <v>34</v>
      </c>
      <c r="D452" t="s">
        <v>27</v>
      </c>
      <c r="E452" s="2" t="s">
        <v>562</v>
      </c>
      <c r="F452">
        <v>92</v>
      </c>
      <c r="G452" t="s">
        <v>20</v>
      </c>
      <c r="H452" s="2" t="s">
        <v>267</v>
      </c>
      <c r="I452">
        <v>1</v>
      </c>
      <c r="J452" t="str">
        <f>IF(Table1[[#This Row],[Resolution_Date]]="NA","Unresolved","Resolved")</f>
        <v>Resolved</v>
      </c>
      <c r="K452">
        <f>IF(Table1[[#This Row],[Resolution_Date]]="NA"," ",Table1[[#This Row],[Resolution_Date]]-Table1[[#This Row],[Complaint_Date]])</f>
        <v>3</v>
      </c>
      <c r="L452" t="str">
        <f>TEXT(Table1[[#This Row],[Complaint_Date]],"MMM")</f>
        <v>Jan</v>
      </c>
      <c r="M452" t="str">
        <f>IF(Table1[[#This Row],[Resolution_Time_Hours]]&lt;=24,"Fast",IF(Table1[[#This Row],[Resolution_Time_Hours]]&lt;=72,"Medium","Slow"))</f>
        <v>Slow</v>
      </c>
    </row>
    <row r="453" spans="1:13" x14ac:dyDescent="0.3">
      <c r="A453" t="s">
        <v>1218</v>
      </c>
      <c r="B453" t="s">
        <v>1219</v>
      </c>
      <c r="C453" t="s">
        <v>34</v>
      </c>
      <c r="D453" t="s">
        <v>27</v>
      </c>
      <c r="E453" s="2" t="s">
        <v>85</v>
      </c>
      <c r="F453">
        <v>45</v>
      </c>
      <c r="G453" t="s">
        <v>20</v>
      </c>
      <c r="H453" s="2" t="s">
        <v>1220</v>
      </c>
      <c r="I453">
        <v>5</v>
      </c>
      <c r="J453" t="str">
        <f>IF(Table1[[#This Row],[Resolution_Date]]="NA","Unresolved","Resolved")</f>
        <v>Resolved</v>
      </c>
      <c r="K453">
        <f>IF(Table1[[#This Row],[Resolution_Date]]="NA"," ",Table1[[#This Row],[Resolution_Date]]-Table1[[#This Row],[Complaint_Date]])</f>
        <v>1</v>
      </c>
      <c r="L453" t="str">
        <f>TEXT(Table1[[#This Row],[Complaint_Date]],"MMM")</f>
        <v>Mar</v>
      </c>
      <c r="M453" t="str">
        <f>IF(Table1[[#This Row],[Resolution_Time_Hours]]&lt;=24,"Fast",IF(Table1[[#This Row],[Resolution_Time_Hours]]&lt;=72,"Medium","Slow"))</f>
        <v>Medium</v>
      </c>
    </row>
    <row r="454" spans="1:13" x14ac:dyDescent="0.3">
      <c r="A454" t="s">
        <v>1221</v>
      </c>
      <c r="B454" t="s">
        <v>1222</v>
      </c>
      <c r="C454" t="s">
        <v>70</v>
      </c>
      <c r="D454" t="s">
        <v>18</v>
      </c>
      <c r="E454" s="2" t="s">
        <v>738</v>
      </c>
      <c r="F454">
        <v>24</v>
      </c>
      <c r="G454" t="s">
        <v>20</v>
      </c>
      <c r="H454" s="2" t="s">
        <v>903</v>
      </c>
      <c r="I454">
        <v>3</v>
      </c>
      <c r="J454" t="str">
        <f>IF(Table1[[#This Row],[Resolution_Date]]="NA","Unresolved","Resolved")</f>
        <v>Resolved</v>
      </c>
      <c r="K454">
        <f>IF(Table1[[#This Row],[Resolution_Date]]="NA"," ",Table1[[#This Row],[Resolution_Date]]-Table1[[#This Row],[Complaint_Date]])</f>
        <v>1</v>
      </c>
      <c r="L454" t="str">
        <f>TEXT(Table1[[#This Row],[Complaint_Date]],"MMM")</f>
        <v>Feb</v>
      </c>
      <c r="M454" t="str">
        <f>IF(Table1[[#This Row],[Resolution_Time_Hours]]&lt;=24,"Fast",IF(Table1[[#This Row],[Resolution_Time_Hours]]&lt;=72,"Medium","Slow"))</f>
        <v>Fast</v>
      </c>
    </row>
    <row r="455" spans="1:13" x14ac:dyDescent="0.3">
      <c r="A455" t="s">
        <v>1223</v>
      </c>
      <c r="B455" t="s">
        <v>1224</v>
      </c>
      <c r="C455" t="s">
        <v>17</v>
      </c>
      <c r="D455" t="s">
        <v>27</v>
      </c>
      <c r="E455" s="2" t="s">
        <v>936</v>
      </c>
      <c r="F455">
        <v>25</v>
      </c>
      <c r="G455" t="s">
        <v>20</v>
      </c>
      <c r="H455" s="2" t="s">
        <v>1080</v>
      </c>
      <c r="I455">
        <v>2</v>
      </c>
      <c r="J455" t="str">
        <f>IF(Table1[[#This Row],[Resolution_Date]]="NA","Unresolved","Resolved")</f>
        <v>Resolved</v>
      </c>
      <c r="K455">
        <f>IF(Table1[[#This Row],[Resolution_Date]]="NA"," ",Table1[[#This Row],[Resolution_Date]]-Table1[[#This Row],[Complaint_Date]])</f>
        <v>1</v>
      </c>
      <c r="L455" t="str">
        <f>TEXT(Table1[[#This Row],[Complaint_Date]],"MMM")</f>
        <v>Feb</v>
      </c>
      <c r="M455" t="str">
        <f>IF(Table1[[#This Row],[Resolution_Time_Hours]]&lt;=24,"Fast",IF(Table1[[#This Row],[Resolution_Time_Hours]]&lt;=72,"Medium","Slow"))</f>
        <v>Medium</v>
      </c>
    </row>
    <row r="456" spans="1:13" x14ac:dyDescent="0.3">
      <c r="A456" t="s">
        <v>1225</v>
      </c>
      <c r="B456" t="s">
        <v>1226</v>
      </c>
      <c r="C456" t="s">
        <v>11</v>
      </c>
      <c r="D456" t="s">
        <v>27</v>
      </c>
      <c r="E456" s="2" t="s">
        <v>822</v>
      </c>
      <c r="F456">
        <v>47</v>
      </c>
      <c r="G456" t="s">
        <v>20</v>
      </c>
      <c r="H456" s="2" t="s">
        <v>803</v>
      </c>
      <c r="I456">
        <v>2</v>
      </c>
      <c r="J456" t="str">
        <f>IF(Table1[[#This Row],[Resolution_Date]]="NA","Unresolved","Resolved")</f>
        <v>Resolved</v>
      </c>
      <c r="K456">
        <f>IF(Table1[[#This Row],[Resolution_Date]]="NA"," ",Table1[[#This Row],[Resolution_Date]]-Table1[[#This Row],[Complaint_Date]])</f>
        <v>1</v>
      </c>
      <c r="L456" t="str">
        <f>TEXT(Table1[[#This Row],[Complaint_Date]],"MMM")</f>
        <v>May</v>
      </c>
      <c r="M456" t="str">
        <f>IF(Table1[[#This Row],[Resolution_Time_Hours]]&lt;=24,"Fast",IF(Table1[[#This Row],[Resolution_Time_Hours]]&lt;=72,"Medium","Slow"))</f>
        <v>Medium</v>
      </c>
    </row>
    <row r="457" spans="1:13" x14ac:dyDescent="0.3">
      <c r="A457" t="s">
        <v>1227</v>
      </c>
      <c r="B457" t="s">
        <v>1228</v>
      </c>
      <c r="C457" t="s">
        <v>48</v>
      </c>
      <c r="D457" t="s">
        <v>38</v>
      </c>
      <c r="E457" s="2" t="s">
        <v>124</v>
      </c>
      <c r="F457">
        <v>58</v>
      </c>
      <c r="G457" t="s">
        <v>14</v>
      </c>
      <c r="H457" s="2" t="s">
        <v>2820</v>
      </c>
      <c r="J457" t="str">
        <f>IF(Table1[[#This Row],[Resolution_Date]]="NA","Unresolved","Resolved")</f>
        <v>Unresolved</v>
      </c>
      <c r="K457" t="str">
        <f>IF(Table1[[#This Row],[Resolution_Date]]="NA"," ",Table1[[#This Row],[Resolution_Date]]-Table1[[#This Row],[Complaint_Date]])</f>
        <v xml:space="preserve"> </v>
      </c>
      <c r="L457" t="str">
        <f>TEXT(Table1[[#This Row],[Complaint_Date]],"MMM")</f>
        <v>Mar</v>
      </c>
      <c r="M457" t="str">
        <f>IF(Table1[[#This Row],[Resolution_Time_Hours]]&lt;=24,"Fast",IF(Table1[[#This Row],[Resolution_Time_Hours]]&lt;=72,"Medium","Slow"))</f>
        <v>Medium</v>
      </c>
    </row>
    <row r="458" spans="1:13" x14ac:dyDescent="0.3">
      <c r="A458" t="s">
        <v>1229</v>
      </c>
      <c r="B458" t="s">
        <v>1230</v>
      </c>
      <c r="C458" t="s">
        <v>48</v>
      </c>
      <c r="D458" t="s">
        <v>27</v>
      </c>
      <c r="E458" s="2" t="s">
        <v>156</v>
      </c>
      <c r="F458">
        <v>34</v>
      </c>
      <c r="G458" t="s">
        <v>20</v>
      </c>
      <c r="H458" s="2" t="s">
        <v>766</v>
      </c>
      <c r="I458">
        <v>2</v>
      </c>
      <c r="J458" t="str">
        <f>IF(Table1[[#This Row],[Resolution_Date]]="NA","Unresolved","Resolved")</f>
        <v>Resolved</v>
      </c>
      <c r="K458">
        <f>IF(Table1[[#This Row],[Resolution_Date]]="NA"," ",Table1[[#This Row],[Resolution_Date]]-Table1[[#This Row],[Complaint_Date]])</f>
        <v>1</v>
      </c>
      <c r="L458" t="str">
        <f>TEXT(Table1[[#This Row],[Complaint_Date]],"MMM")</f>
        <v>Oct</v>
      </c>
      <c r="M458" t="str">
        <f>IF(Table1[[#This Row],[Resolution_Time_Hours]]&lt;=24,"Fast",IF(Table1[[#This Row],[Resolution_Time_Hours]]&lt;=72,"Medium","Slow"))</f>
        <v>Medium</v>
      </c>
    </row>
    <row r="459" spans="1:13" x14ac:dyDescent="0.3">
      <c r="A459" t="s">
        <v>1231</v>
      </c>
      <c r="B459" t="s">
        <v>1232</v>
      </c>
      <c r="C459" t="s">
        <v>34</v>
      </c>
      <c r="D459" t="s">
        <v>38</v>
      </c>
      <c r="E459" s="2" t="s">
        <v>995</v>
      </c>
      <c r="F459">
        <v>60</v>
      </c>
      <c r="G459" t="s">
        <v>20</v>
      </c>
      <c r="H459" s="2" t="s">
        <v>217</v>
      </c>
      <c r="I459">
        <v>1</v>
      </c>
      <c r="J459" t="str">
        <f>IF(Table1[[#This Row],[Resolution_Date]]="NA","Unresolved","Resolved")</f>
        <v>Resolved</v>
      </c>
      <c r="K459">
        <f>IF(Table1[[#This Row],[Resolution_Date]]="NA"," ",Table1[[#This Row],[Resolution_Date]]-Table1[[#This Row],[Complaint_Date]])</f>
        <v>2</v>
      </c>
      <c r="L459" t="str">
        <f>TEXT(Table1[[#This Row],[Complaint_Date]],"MMM")</f>
        <v>Dec</v>
      </c>
      <c r="M459" t="str">
        <f>IF(Table1[[#This Row],[Resolution_Time_Hours]]&lt;=24,"Fast",IF(Table1[[#This Row],[Resolution_Time_Hours]]&lt;=72,"Medium","Slow"))</f>
        <v>Medium</v>
      </c>
    </row>
    <row r="460" spans="1:13" x14ac:dyDescent="0.3">
      <c r="A460" t="s">
        <v>1233</v>
      </c>
      <c r="B460" t="s">
        <v>1234</v>
      </c>
      <c r="C460" t="s">
        <v>43</v>
      </c>
      <c r="D460" t="s">
        <v>95</v>
      </c>
      <c r="E460" s="2" t="s">
        <v>274</v>
      </c>
      <c r="F460">
        <v>9</v>
      </c>
      <c r="G460" t="s">
        <v>14</v>
      </c>
      <c r="H460" s="2" t="s">
        <v>2820</v>
      </c>
      <c r="J460" t="str">
        <f>IF(Table1[[#This Row],[Resolution_Date]]="NA","Unresolved","Resolved")</f>
        <v>Unresolved</v>
      </c>
      <c r="K460" t="str">
        <f>IF(Table1[[#This Row],[Resolution_Date]]="NA"," ",Table1[[#This Row],[Resolution_Date]]-Table1[[#This Row],[Complaint_Date]])</f>
        <v xml:space="preserve"> </v>
      </c>
      <c r="L460" t="str">
        <f>TEXT(Table1[[#This Row],[Complaint_Date]],"MMM")</f>
        <v>Nov</v>
      </c>
      <c r="M460" t="str">
        <f>IF(Table1[[#This Row],[Resolution_Time_Hours]]&lt;=24,"Fast",IF(Table1[[#This Row],[Resolution_Time_Hours]]&lt;=72,"Medium","Slow"))</f>
        <v>Fast</v>
      </c>
    </row>
    <row r="461" spans="1:13" x14ac:dyDescent="0.3">
      <c r="A461" t="s">
        <v>1235</v>
      </c>
      <c r="B461" t="s">
        <v>1236</v>
      </c>
      <c r="C461" t="s">
        <v>17</v>
      </c>
      <c r="D461" t="s">
        <v>12</v>
      </c>
      <c r="E461" s="2" t="s">
        <v>944</v>
      </c>
      <c r="F461">
        <v>23</v>
      </c>
      <c r="G461" t="s">
        <v>20</v>
      </c>
      <c r="H461" s="2" t="s">
        <v>944</v>
      </c>
      <c r="I461">
        <v>3</v>
      </c>
      <c r="J461" t="str">
        <f>IF(Table1[[#This Row],[Resolution_Date]]="NA","Unresolved","Resolved")</f>
        <v>Resolved</v>
      </c>
      <c r="K461">
        <f>IF(Table1[[#This Row],[Resolution_Date]]="NA"," ",Table1[[#This Row],[Resolution_Date]]-Table1[[#This Row],[Complaint_Date]])</f>
        <v>0</v>
      </c>
      <c r="L461" t="str">
        <f>TEXT(Table1[[#This Row],[Complaint_Date]],"MMM")</f>
        <v>May</v>
      </c>
      <c r="M461" t="str">
        <f>IF(Table1[[#This Row],[Resolution_Time_Hours]]&lt;=24,"Fast",IF(Table1[[#This Row],[Resolution_Time_Hours]]&lt;=72,"Medium","Slow"))</f>
        <v>Fast</v>
      </c>
    </row>
    <row r="462" spans="1:13" x14ac:dyDescent="0.3">
      <c r="A462" t="s">
        <v>1237</v>
      </c>
      <c r="B462" t="s">
        <v>1238</v>
      </c>
      <c r="C462" t="s">
        <v>17</v>
      </c>
      <c r="D462" t="s">
        <v>27</v>
      </c>
      <c r="E462" s="2" t="s">
        <v>1239</v>
      </c>
      <c r="F462">
        <v>26</v>
      </c>
      <c r="G462" t="s">
        <v>20</v>
      </c>
      <c r="H462" s="2" t="s">
        <v>1240</v>
      </c>
      <c r="I462">
        <v>2</v>
      </c>
      <c r="J462" t="str">
        <f>IF(Table1[[#This Row],[Resolution_Date]]="NA","Unresolved","Resolved")</f>
        <v>Resolved</v>
      </c>
      <c r="K462">
        <f>IF(Table1[[#This Row],[Resolution_Date]]="NA"," ",Table1[[#This Row],[Resolution_Date]]-Table1[[#This Row],[Complaint_Date]])</f>
        <v>1</v>
      </c>
      <c r="L462" t="str">
        <f>TEXT(Table1[[#This Row],[Complaint_Date]],"MMM")</f>
        <v>Jan</v>
      </c>
      <c r="M462" t="str">
        <f>IF(Table1[[#This Row],[Resolution_Time_Hours]]&lt;=24,"Fast",IF(Table1[[#This Row],[Resolution_Time_Hours]]&lt;=72,"Medium","Slow"))</f>
        <v>Medium</v>
      </c>
    </row>
    <row r="463" spans="1:13" x14ac:dyDescent="0.3">
      <c r="A463" t="s">
        <v>1241</v>
      </c>
      <c r="B463" t="s">
        <v>1242</v>
      </c>
      <c r="C463" t="s">
        <v>110</v>
      </c>
      <c r="D463" t="s">
        <v>95</v>
      </c>
      <c r="E463" s="2" t="s">
        <v>918</v>
      </c>
      <c r="F463">
        <v>12</v>
      </c>
      <c r="G463" t="s">
        <v>20</v>
      </c>
      <c r="H463" s="2" t="s">
        <v>918</v>
      </c>
      <c r="I463">
        <v>4</v>
      </c>
      <c r="J463" t="str">
        <f>IF(Table1[[#This Row],[Resolution_Date]]="NA","Unresolved","Resolved")</f>
        <v>Resolved</v>
      </c>
      <c r="K463">
        <f>IF(Table1[[#This Row],[Resolution_Date]]="NA"," ",Table1[[#This Row],[Resolution_Date]]-Table1[[#This Row],[Complaint_Date]])</f>
        <v>0</v>
      </c>
      <c r="L463" t="str">
        <f>TEXT(Table1[[#This Row],[Complaint_Date]],"MMM")</f>
        <v>Apr</v>
      </c>
      <c r="M463" t="str">
        <f>IF(Table1[[#This Row],[Resolution_Time_Hours]]&lt;=24,"Fast",IF(Table1[[#This Row],[Resolution_Time_Hours]]&lt;=72,"Medium","Slow"))</f>
        <v>Fast</v>
      </c>
    </row>
    <row r="464" spans="1:13" x14ac:dyDescent="0.3">
      <c r="A464" t="s">
        <v>1243</v>
      </c>
      <c r="B464" t="s">
        <v>1244</v>
      </c>
      <c r="C464" t="s">
        <v>43</v>
      </c>
      <c r="D464" t="s">
        <v>27</v>
      </c>
      <c r="E464" s="2" t="s">
        <v>376</v>
      </c>
      <c r="F464">
        <v>31</v>
      </c>
      <c r="G464" t="s">
        <v>40</v>
      </c>
      <c r="H464" s="2" t="s">
        <v>2820</v>
      </c>
      <c r="J464" t="str">
        <f>IF(Table1[[#This Row],[Resolution_Date]]="NA","Unresolved","Resolved")</f>
        <v>Unresolved</v>
      </c>
      <c r="K464" t="str">
        <f>IF(Table1[[#This Row],[Resolution_Date]]="NA"," ",Table1[[#This Row],[Resolution_Date]]-Table1[[#This Row],[Complaint_Date]])</f>
        <v xml:space="preserve"> </v>
      </c>
      <c r="L464" t="str">
        <f>TEXT(Table1[[#This Row],[Complaint_Date]],"MMM")</f>
        <v>Jul</v>
      </c>
      <c r="M464" t="str">
        <f>IF(Table1[[#This Row],[Resolution_Time_Hours]]&lt;=24,"Fast",IF(Table1[[#This Row],[Resolution_Time_Hours]]&lt;=72,"Medium","Slow"))</f>
        <v>Medium</v>
      </c>
    </row>
    <row r="465" spans="1:13" x14ac:dyDescent="0.3">
      <c r="A465" t="s">
        <v>1245</v>
      </c>
      <c r="B465" t="s">
        <v>1246</v>
      </c>
      <c r="C465" t="s">
        <v>43</v>
      </c>
      <c r="D465" t="s">
        <v>18</v>
      </c>
      <c r="E465" s="2" t="s">
        <v>511</v>
      </c>
      <c r="F465">
        <v>46</v>
      </c>
      <c r="G465" t="s">
        <v>20</v>
      </c>
      <c r="H465" s="2" t="s">
        <v>1247</v>
      </c>
      <c r="I465">
        <v>2</v>
      </c>
      <c r="J465" t="str">
        <f>IF(Table1[[#This Row],[Resolution_Date]]="NA","Unresolved","Resolved")</f>
        <v>Resolved</v>
      </c>
      <c r="K465">
        <f>IF(Table1[[#This Row],[Resolution_Date]]="NA"," ",Table1[[#This Row],[Resolution_Date]]-Table1[[#This Row],[Complaint_Date]])</f>
        <v>1</v>
      </c>
      <c r="L465" t="str">
        <f>TEXT(Table1[[#This Row],[Complaint_Date]],"MMM")</f>
        <v>Jul</v>
      </c>
      <c r="M465" t="str">
        <f>IF(Table1[[#This Row],[Resolution_Time_Hours]]&lt;=24,"Fast",IF(Table1[[#This Row],[Resolution_Time_Hours]]&lt;=72,"Medium","Slow"))</f>
        <v>Medium</v>
      </c>
    </row>
    <row r="466" spans="1:13" x14ac:dyDescent="0.3">
      <c r="A466" t="s">
        <v>1248</v>
      </c>
      <c r="B466" t="s">
        <v>1249</v>
      </c>
      <c r="C466" t="s">
        <v>110</v>
      </c>
      <c r="D466" t="s">
        <v>18</v>
      </c>
      <c r="E466" s="2" t="s">
        <v>270</v>
      </c>
      <c r="F466">
        <v>6</v>
      </c>
      <c r="G466" t="s">
        <v>40</v>
      </c>
      <c r="H466" s="2" t="s">
        <v>2820</v>
      </c>
      <c r="J466" t="str">
        <f>IF(Table1[[#This Row],[Resolution_Date]]="NA","Unresolved","Resolved")</f>
        <v>Unresolved</v>
      </c>
      <c r="K466" t="str">
        <f>IF(Table1[[#This Row],[Resolution_Date]]="NA"," ",Table1[[#This Row],[Resolution_Date]]-Table1[[#This Row],[Complaint_Date]])</f>
        <v xml:space="preserve"> </v>
      </c>
      <c r="L466" t="str">
        <f>TEXT(Table1[[#This Row],[Complaint_Date]],"MMM")</f>
        <v>Apr</v>
      </c>
      <c r="M466" t="str">
        <f>IF(Table1[[#This Row],[Resolution_Time_Hours]]&lt;=24,"Fast",IF(Table1[[#This Row],[Resolution_Time_Hours]]&lt;=72,"Medium","Slow"))</f>
        <v>Fast</v>
      </c>
    </row>
    <row r="467" spans="1:13" x14ac:dyDescent="0.3">
      <c r="A467" t="s">
        <v>1250</v>
      </c>
      <c r="B467" t="s">
        <v>1251</v>
      </c>
      <c r="C467" t="s">
        <v>43</v>
      </c>
      <c r="D467" t="s">
        <v>12</v>
      </c>
      <c r="E467" s="2" t="s">
        <v>492</v>
      </c>
      <c r="F467">
        <v>14</v>
      </c>
      <c r="G467" t="s">
        <v>20</v>
      </c>
      <c r="H467" s="2" t="s">
        <v>492</v>
      </c>
      <c r="I467">
        <v>3</v>
      </c>
      <c r="J467" t="str">
        <f>IF(Table1[[#This Row],[Resolution_Date]]="NA","Unresolved","Resolved")</f>
        <v>Resolved</v>
      </c>
      <c r="K467">
        <f>IF(Table1[[#This Row],[Resolution_Date]]="NA"," ",Table1[[#This Row],[Resolution_Date]]-Table1[[#This Row],[Complaint_Date]])</f>
        <v>0</v>
      </c>
      <c r="L467" t="str">
        <f>TEXT(Table1[[#This Row],[Complaint_Date]],"MMM")</f>
        <v>Oct</v>
      </c>
      <c r="M467" t="str">
        <f>IF(Table1[[#This Row],[Resolution_Time_Hours]]&lt;=24,"Fast",IF(Table1[[#This Row],[Resolution_Time_Hours]]&lt;=72,"Medium","Slow"))</f>
        <v>Fast</v>
      </c>
    </row>
    <row r="468" spans="1:13" x14ac:dyDescent="0.3">
      <c r="A468" t="s">
        <v>1252</v>
      </c>
      <c r="B468" t="s">
        <v>1253</v>
      </c>
      <c r="C468" t="s">
        <v>48</v>
      </c>
      <c r="D468" t="s">
        <v>95</v>
      </c>
      <c r="E468" s="2" t="s">
        <v>1017</v>
      </c>
      <c r="F468">
        <v>8</v>
      </c>
      <c r="G468" t="s">
        <v>20</v>
      </c>
      <c r="H468" s="2" t="s">
        <v>1017</v>
      </c>
      <c r="I468">
        <v>4</v>
      </c>
      <c r="J468" t="str">
        <f>IF(Table1[[#This Row],[Resolution_Date]]="NA","Unresolved","Resolved")</f>
        <v>Resolved</v>
      </c>
      <c r="K468">
        <f>IF(Table1[[#This Row],[Resolution_Date]]="NA"," ",Table1[[#This Row],[Resolution_Date]]-Table1[[#This Row],[Complaint_Date]])</f>
        <v>0</v>
      </c>
      <c r="L468" t="str">
        <f>TEXT(Table1[[#This Row],[Complaint_Date]],"MMM")</f>
        <v>Aug</v>
      </c>
      <c r="M468" t="str">
        <f>IF(Table1[[#This Row],[Resolution_Time_Hours]]&lt;=24,"Fast",IF(Table1[[#This Row],[Resolution_Time_Hours]]&lt;=72,"Medium","Slow"))</f>
        <v>Fast</v>
      </c>
    </row>
    <row r="469" spans="1:13" x14ac:dyDescent="0.3">
      <c r="A469" t="s">
        <v>1254</v>
      </c>
      <c r="B469" t="s">
        <v>1255</v>
      </c>
      <c r="C469" t="s">
        <v>48</v>
      </c>
      <c r="D469" t="s">
        <v>18</v>
      </c>
      <c r="E469" s="2" t="s">
        <v>1256</v>
      </c>
      <c r="F469">
        <v>54</v>
      </c>
      <c r="G469" t="s">
        <v>40</v>
      </c>
      <c r="H469" s="2" t="s">
        <v>2820</v>
      </c>
      <c r="J469" t="str">
        <f>IF(Table1[[#This Row],[Resolution_Date]]="NA","Unresolved","Resolved")</f>
        <v>Unresolved</v>
      </c>
      <c r="K469" t="str">
        <f>IF(Table1[[#This Row],[Resolution_Date]]="NA"," ",Table1[[#This Row],[Resolution_Date]]-Table1[[#This Row],[Complaint_Date]])</f>
        <v xml:space="preserve"> </v>
      </c>
      <c r="L469" t="str">
        <f>TEXT(Table1[[#This Row],[Complaint_Date]],"MMM")</f>
        <v>Apr</v>
      </c>
      <c r="M469" t="str">
        <f>IF(Table1[[#This Row],[Resolution_Time_Hours]]&lt;=24,"Fast",IF(Table1[[#This Row],[Resolution_Time_Hours]]&lt;=72,"Medium","Slow"))</f>
        <v>Medium</v>
      </c>
    </row>
    <row r="470" spans="1:13" x14ac:dyDescent="0.3">
      <c r="A470" t="s">
        <v>1257</v>
      </c>
      <c r="B470" t="s">
        <v>1258</v>
      </c>
      <c r="C470" t="s">
        <v>17</v>
      </c>
      <c r="D470" t="s">
        <v>18</v>
      </c>
      <c r="E470" s="2" t="s">
        <v>886</v>
      </c>
      <c r="F470">
        <v>20</v>
      </c>
      <c r="G470" t="s">
        <v>20</v>
      </c>
      <c r="H470" s="2" t="s">
        <v>886</v>
      </c>
      <c r="I470">
        <v>3</v>
      </c>
      <c r="J470" t="str">
        <f>IF(Table1[[#This Row],[Resolution_Date]]="NA","Unresolved","Resolved")</f>
        <v>Resolved</v>
      </c>
      <c r="K470">
        <f>IF(Table1[[#This Row],[Resolution_Date]]="NA"," ",Table1[[#This Row],[Resolution_Date]]-Table1[[#This Row],[Complaint_Date]])</f>
        <v>0</v>
      </c>
      <c r="L470" t="str">
        <f>TEXT(Table1[[#This Row],[Complaint_Date]],"MMM")</f>
        <v>Jan</v>
      </c>
      <c r="M470" t="str">
        <f>IF(Table1[[#This Row],[Resolution_Time_Hours]]&lt;=24,"Fast",IF(Table1[[#This Row],[Resolution_Time_Hours]]&lt;=72,"Medium","Slow"))</f>
        <v>Fast</v>
      </c>
    </row>
    <row r="471" spans="1:13" x14ac:dyDescent="0.3">
      <c r="A471" t="s">
        <v>1259</v>
      </c>
      <c r="B471" t="s">
        <v>1260</v>
      </c>
      <c r="C471" t="s">
        <v>53</v>
      </c>
      <c r="D471" t="s">
        <v>38</v>
      </c>
      <c r="E471" s="2" t="s">
        <v>912</v>
      </c>
      <c r="F471">
        <v>9</v>
      </c>
      <c r="G471" t="s">
        <v>20</v>
      </c>
      <c r="H471" s="2" t="s">
        <v>912</v>
      </c>
      <c r="I471">
        <v>4</v>
      </c>
      <c r="J471" t="str">
        <f>IF(Table1[[#This Row],[Resolution_Date]]="NA","Unresolved","Resolved")</f>
        <v>Resolved</v>
      </c>
      <c r="K471">
        <f>IF(Table1[[#This Row],[Resolution_Date]]="NA"," ",Table1[[#This Row],[Resolution_Date]]-Table1[[#This Row],[Complaint_Date]])</f>
        <v>0</v>
      </c>
      <c r="L471" t="str">
        <f>TEXT(Table1[[#This Row],[Complaint_Date]],"MMM")</f>
        <v>Apr</v>
      </c>
      <c r="M471" t="str">
        <f>IF(Table1[[#This Row],[Resolution_Time_Hours]]&lt;=24,"Fast",IF(Table1[[#This Row],[Resolution_Time_Hours]]&lt;=72,"Medium","Slow"))</f>
        <v>Fast</v>
      </c>
    </row>
    <row r="472" spans="1:13" x14ac:dyDescent="0.3">
      <c r="A472" t="s">
        <v>1261</v>
      </c>
      <c r="B472" t="s">
        <v>1262</v>
      </c>
      <c r="C472" t="s">
        <v>34</v>
      </c>
      <c r="D472" t="s">
        <v>27</v>
      </c>
      <c r="E472" s="2" t="s">
        <v>446</v>
      </c>
      <c r="F472">
        <v>61</v>
      </c>
      <c r="G472" t="s">
        <v>40</v>
      </c>
      <c r="H472" s="2" t="s">
        <v>2820</v>
      </c>
      <c r="J472" t="str">
        <f>IF(Table1[[#This Row],[Resolution_Date]]="NA","Unresolved","Resolved")</f>
        <v>Unresolved</v>
      </c>
      <c r="K472" t="str">
        <f>IF(Table1[[#This Row],[Resolution_Date]]="NA"," ",Table1[[#This Row],[Resolution_Date]]-Table1[[#This Row],[Complaint_Date]])</f>
        <v xml:space="preserve"> </v>
      </c>
      <c r="L472" t="str">
        <f>TEXT(Table1[[#This Row],[Complaint_Date]],"MMM")</f>
        <v>Nov</v>
      </c>
      <c r="M472" t="str">
        <f>IF(Table1[[#This Row],[Resolution_Time_Hours]]&lt;=24,"Fast",IF(Table1[[#This Row],[Resolution_Time_Hours]]&lt;=72,"Medium","Slow"))</f>
        <v>Medium</v>
      </c>
    </row>
    <row r="473" spans="1:13" x14ac:dyDescent="0.3">
      <c r="A473" t="s">
        <v>1263</v>
      </c>
      <c r="B473" t="s">
        <v>1264</v>
      </c>
      <c r="C473" t="s">
        <v>34</v>
      </c>
      <c r="D473" t="s">
        <v>38</v>
      </c>
      <c r="E473" s="2" t="s">
        <v>1265</v>
      </c>
      <c r="F473">
        <v>91</v>
      </c>
      <c r="G473" t="s">
        <v>20</v>
      </c>
      <c r="H473" s="2" t="s">
        <v>1109</v>
      </c>
      <c r="I473">
        <v>1</v>
      </c>
      <c r="J473" t="str">
        <f>IF(Table1[[#This Row],[Resolution_Date]]="NA","Unresolved","Resolved")</f>
        <v>Resolved</v>
      </c>
      <c r="K473">
        <f>IF(Table1[[#This Row],[Resolution_Date]]="NA"," ",Table1[[#This Row],[Resolution_Date]]-Table1[[#This Row],[Complaint_Date]])</f>
        <v>3</v>
      </c>
      <c r="L473" t="str">
        <f>TEXT(Table1[[#This Row],[Complaint_Date]],"MMM")</f>
        <v>Sep</v>
      </c>
      <c r="M473" t="str">
        <f>IF(Table1[[#This Row],[Resolution_Time_Hours]]&lt;=24,"Fast",IF(Table1[[#This Row],[Resolution_Time_Hours]]&lt;=72,"Medium","Slow"))</f>
        <v>Slow</v>
      </c>
    </row>
    <row r="474" spans="1:13" x14ac:dyDescent="0.3">
      <c r="A474" t="s">
        <v>1266</v>
      </c>
      <c r="B474" t="s">
        <v>1267</v>
      </c>
      <c r="C474" t="s">
        <v>70</v>
      </c>
      <c r="D474" t="s">
        <v>12</v>
      </c>
      <c r="E474" s="2" t="s">
        <v>663</v>
      </c>
      <c r="F474">
        <v>21</v>
      </c>
      <c r="G474" t="s">
        <v>14</v>
      </c>
      <c r="H474" s="2" t="s">
        <v>2820</v>
      </c>
      <c r="J474" t="str">
        <f>IF(Table1[[#This Row],[Resolution_Date]]="NA","Unresolved","Resolved")</f>
        <v>Unresolved</v>
      </c>
      <c r="K474" t="str">
        <f>IF(Table1[[#This Row],[Resolution_Date]]="NA"," ",Table1[[#This Row],[Resolution_Date]]-Table1[[#This Row],[Complaint_Date]])</f>
        <v xml:space="preserve"> </v>
      </c>
      <c r="L474" t="str">
        <f>TEXT(Table1[[#This Row],[Complaint_Date]],"MMM")</f>
        <v>Nov</v>
      </c>
      <c r="M474" t="str">
        <f>IF(Table1[[#This Row],[Resolution_Time_Hours]]&lt;=24,"Fast",IF(Table1[[#This Row],[Resolution_Time_Hours]]&lt;=72,"Medium","Slow"))</f>
        <v>Fast</v>
      </c>
    </row>
    <row r="475" spans="1:13" x14ac:dyDescent="0.3">
      <c r="A475" t="s">
        <v>1268</v>
      </c>
      <c r="B475" t="s">
        <v>1269</v>
      </c>
      <c r="C475" t="s">
        <v>43</v>
      </c>
      <c r="D475" t="s">
        <v>38</v>
      </c>
      <c r="E475" s="2" t="s">
        <v>150</v>
      </c>
      <c r="F475">
        <v>58</v>
      </c>
      <c r="G475" t="s">
        <v>20</v>
      </c>
      <c r="H475" s="2" t="s">
        <v>753</v>
      </c>
      <c r="I475">
        <v>1</v>
      </c>
      <c r="J475" t="str">
        <f>IF(Table1[[#This Row],[Resolution_Date]]="NA","Unresolved","Resolved")</f>
        <v>Resolved</v>
      </c>
      <c r="K475">
        <f>IF(Table1[[#This Row],[Resolution_Date]]="NA"," ",Table1[[#This Row],[Resolution_Date]]-Table1[[#This Row],[Complaint_Date]])</f>
        <v>2</v>
      </c>
      <c r="L475" t="str">
        <f>TEXT(Table1[[#This Row],[Complaint_Date]],"MMM")</f>
        <v>Feb</v>
      </c>
      <c r="M475" t="str">
        <f>IF(Table1[[#This Row],[Resolution_Time_Hours]]&lt;=24,"Fast",IF(Table1[[#This Row],[Resolution_Time_Hours]]&lt;=72,"Medium","Slow"))</f>
        <v>Medium</v>
      </c>
    </row>
    <row r="476" spans="1:13" x14ac:dyDescent="0.3">
      <c r="A476" t="s">
        <v>1270</v>
      </c>
      <c r="B476" t="s">
        <v>1271</v>
      </c>
      <c r="C476" t="s">
        <v>70</v>
      </c>
      <c r="D476" t="s">
        <v>12</v>
      </c>
      <c r="E476" s="2" t="s">
        <v>681</v>
      </c>
      <c r="F476">
        <v>11</v>
      </c>
      <c r="G476" t="s">
        <v>20</v>
      </c>
      <c r="H476" s="2" t="s">
        <v>681</v>
      </c>
      <c r="I476">
        <v>4</v>
      </c>
      <c r="J476" t="str">
        <f>IF(Table1[[#This Row],[Resolution_Date]]="NA","Unresolved","Resolved")</f>
        <v>Resolved</v>
      </c>
      <c r="K476">
        <f>IF(Table1[[#This Row],[Resolution_Date]]="NA"," ",Table1[[#This Row],[Resolution_Date]]-Table1[[#This Row],[Complaint_Date]])</f>
        <v>0</v>
      </c>
      <c r="L476" t="str">
        <f>TEXT(Table1[[#This Row],[Complaint_Date]],"MMM")</f>
        <v>Apr</v>
      </c>
      <c r="M476" t="str">
        <f>IF(Table1[[#This Row],[Resolution_Time_Hours]]&lt;=24,"Fast",IF(Table1[[#This Row],[Resolution_Time_Hours]]&lt;=72,"Medium","Slow"))</f>
        <v>Fast</v>
      </c>
    </row>
    <row r="477" spans="1:13" x14ac:dyDescent="0.3">
      <c r="A477" t="s">
        <v>1272</v>
      </c>
      <c r="B477" t="s">
        <v>1273</v>
      </c>
      <c r="C477" t="s">
        <v>43</v>
      </c>
      <c r="D477" t="s">
        <v>12</v>
      </c>
      <c r="E477" s="2" t="s">
        <v>1274</v>
      </c>
      <c r="F477">
        <v>46</v>
      </c>
      <c r="G477" t="s">
        <v>20</v>
      </c>
      <c r="H477" s="2" t="s">
        <v>718</v>
      </c>
      <c r="I477">
        <v>2</v>
      </c>
      <c r="J477" t="str">
        <f>IF(Table1[[#This Row],[Resolution_Date]]="NA","Unresolved","Resolved")</f>
        <v>Resolved</v>
      </c>
      <c r="K477">
        <f>IF(Table1[[#This Row],[Resolution_Date]]="NA"," ",Table1[[#This Row],[Resolution_Date]]-Table1[[#This Row],[Complaint_Date]])</f>
        <v>1</v>
      </c>
      <c r="L477" t="str">
        <f>TEXT(Table1[[#This Row],[Complaint_Date]],"MMM")</f>
        <v>Mar</v>
      </c>
      <c r="M477" t="str">
        <f>IF(Table1[[#This Row],[Resolution_Time_Hours]]&lt;=24,"Fast",IF(Table1[[#This Row],[Resolution_Time_Hours]]&lt;=72,"Medium","Slow"))</f>
        <v>Medium</v>
      </c>
    </row>
    <row r="478" spans="1:13" x14ac:dyDescent="0.3">
      <c r="A478" t="s">
        <v>1275</v>
      </c>
      <c r="B478" t="s">
        <v>1276</v>
      </c>
      <c r="C478" t="s">
        <v>53</v>
      </c>
      <c r="D478" t="s">
        <v>27</v>
      </c>
      <c r="E478" s="2" t="s">
        <v>1277</v>
      </c>
      <c r="F478">
        <v>8</v>
      </c>
      <c r="G478" t="s">
        <v>14</v>
      </c>
      <c r="H478" s="2" t="s">
        <v>2820</v>
      </c>
      <c r="J478" t="str">
        <f>IF(Table1[[#This Row],[Resolution_Date]]="NA","Unresolved","Resolved")</f>
        <v>Unresolved</v>
      </c>
      <c r="K478" t="str">
        <f>IF(Table1[[#This Row],[Resolution_Date]]="NA"," ",Table1[[#This Row],[Resolution_Date]]-Table1[[#This Row],[Complaint_Date]])</f>
        <v xml:space="preserve"> </v>
      </c>
      <c r="L478" t="str">
        <f>TEXT(Table1[[#This Row],[Complaint_Date]],"MMM")</f>
        <v>Nov</v>
      </c>
      <c r="M478" t="str">
        <f>IF(Table1[[#This Row],[Resolution_Time_Hours]]&lt;=24,"Fast",IF(Table1[[#This Row],[Resolution_Time_Hours]]&lt;=72,"Medium","Slow"))</f>
        <v>Fast</v>
      </c>
    </row>
    <row r="479" spans="1:13" x14ac:dyDescent="0.3">
      <c r="A479" t="s">
        <v>1278</v>
      </c>
      <c r="B479" t="s">
        <v>1279</v>
      </c>
      <c r="C479" t="s">
        <v>110</v>
      </c>
      <c r="D479" t="s">
        <v>27</v>
      </c>
      <c r="E479" s="2" t="s">
        <v>63</v>
      </c>
      <c r="F479">
        <v>7</v>
      </c>
      <c r="G479" t="s">
        <v>20</v>
      </c>
      <c r="H479" s="2" t="s">
        <v>63</v>
      </c>
      <c r="I479">
        <v>4</v>
      </c>
      <c r="J479" t="str">
        <f>IF(Table1[[#This Row],[Resolution_Date]]="NA","Unresolved","Resolved")</f>
        <v>Resolved</v>
      </c>
      <c r="K479">
        <f>IF(Table1[[#This Row],[Resolution_Date]]="NA"," ",Table1[[#This Row],[Resolution_Date]]-Table1[[#This Row],[Complaint_Date]])</f>
        <v>0</v>
      </c>
      <c r="L479" t="str">
        <f>TEXT(Table1[[#This Row],[Complaint_Date]],"MMM")</f>
        <v>Aug</v>
      </c>
      <c r="M479" t="str">
        <f>IF(Table1[[#This Row],[Resolution_Time_Hours]]&lt;=24,"Fast",IF(Table1[[#This Row],[Resolution_Time_Hours]]&lt;=72,"Medium","Slow"))</f>
        <v>Fast</v>
      </c>
    </row>
    <row r="480" spans="1:13" x14ac:dyDescent="0.3">
      <c r="A480" t="s">
        <v>1280</v>
      </c>
      <c r="B480" t="s">
        <v>1281</v>
      </c>
      <c r="C480" t="s">
        <v>43</v>
      </c>
      <c r="D480" t="s">
        <v>18</v>
      </c>
      <c r="E480" s="2" t="s">
        <v>89</v>
      </c>
      <c r="F480">
        <v>49</v>
      </c>
      <c r="G480" t="s">
        <v>40</v>
      </c>
      <c r="H480" s="2" t="s">
        <v>2820</v>
      </c>
      <c r="J480" t="str">
        <f>IF(Table1[[#This Row],[Resolution_Date]]="NA","Unresolved","Resolved")</f>
        <v>Unresolved</v>
      </c>
      <c r="K480" t="str">
        <f>IF(Table1[[#This Row],[Resolution_Date]]="NA"," ",Table1[[#This Row],[Resolution_Date]]-Table1[[#This Row],[Complaint_Date]])</f>
        <v xml:space="preserve"> </v>
      </c>
      <c r="L480" t="str">
        <f>TEXT(Table1[[#This Row],[Complaint_Date]],"MMM")</f>
        <v>Jun</v>
      </c>
      <c r="M480" t="str">
        <f>IF(Table1[[#This Row],[Resolution_Time_Hours]]&lt;=24,"Fast",IF(Table1[[#This Row],[Resolution_Time_Hours]]&lt;=72,"Medium","Slow"))</f>
        <v>Medium</v>
      </c>
    </row>
    <row r="481" spans="1:13" x14ac:dyDescent="0.3">
      <c r="A481" t="s">
        <v>1282</v>
      </c>
      <c r="B481" t="s">
        <v>1283</v>
      </c>
      <c r="C481" t="s">
        <v>34</v>
      </c>
      <c r="D481" t="s">
        <v>27</v>
      </c>
      <c r="E481" s="2" t="s">
        <v>228</v>
      </c>
      <c r="F481">
        <v>68</v>
      </c>
      <c r="G481" t="s">
        <v>20</v>
      </c>
      <c r="H481" s="2" t="s">
        <v>1284</v>
      </c>
      <c r="I481">
        <v>1</v>
      </c>
      <c r="J481" t="str">
        <f>IF(Table1[[#This Row],[Resolution_Date]]="NA","Unresolved","Resolved")</f>
        <v>Resolved</v>
      </c>
      <c r="K481">
        <f>IF(Table1[[#This Row],[Resolution_Date]]="NA"," ",Table1[[#This Row],[Resolution_Date]]-Table1[[#This Row],[Complaint_Date]])</f>
        <v>2</v>
      </c>
      <c r="L481" t="str">
        <f>TEXT(Table1[[#This Row],[Complaint_Date]],"MMM")</f>
        <v>Apr</v>
      </c>
      <c r="M481" t="str">
        <f>IF(Table1[[#This Row],[Resolution_Time_Hours]]&lt;=24,"Fast",IF(Table1[[#This Row],[Resolution_Time_Hours]]&lt;=72,"Medium","Slow"))</f>
        <v>Medium</v>
      </c>
    </row>
    <row r="482" spans="1:13" x14ac:dyDescent="0.3">
      <c r="A482" t="s">
        <v>1285</v>
      </c>
      <c r="B482" t="s">
        <v>1286</v>
      </c>
      <c r="C482" t="s">
        <v>48</v>
      </c>
      <c r="D482" t="s">
        <v>95</v>
      </c>
      <c r="E482" s="2" t="s">
        <v>1287</v>
      </c>
      <c r="F482">
        <v>55</v>
      </c>
      <c r="G482" t="s">
        <v>20</v>
      </c>
      <c r="H482" s="2" t="s">
        <v>1288</v>
      </c>
      <c r="I482">
        <v>1</v>
      </c>
      <c r="J482" t="str">
        <f>IF(Table1[[#This Row],[Resolution_Date]]="NA","Unresolved","Resolved")</f>
        <v>Resolved</v>
      </c>
      <c r="K482">
        <f>IF(Table1[[#This Row],[Resolution_Date]]="NA"," ",Table1[[#This Row],[Resolution_Date]]-Table1[[#This Row],[Complaint_Date]])</f>
        <v>2</v>
      </c>
      <c r="L482" t="str">
        <f>TEXT(Table1[[#This Row],[Complaint_Date]],"MMM")</f>
        <v>Nov</v>
      </c>
      <c r="M482" t="str">
        <f>IF(Table1[[#This Row],[Resolution_Time_Hours]]&lt;=24,"Fast",IF(Table1[[#This Row],[Resolution_Time_Hours]]&lt;=72,"Medium","Slow"))</f>
        <v>Medium</v>
      </c>
    </row>
    <row r="483" spans="1:13" x14ac:dyDescent="0.3">
      <c r="A483" t="s">
        <v>1289</v>
      </c>
      <c r="B483" t="s">
        <v>1290</v>
      </c>
      <c r="C483" t="s">
        <v>53</v>
      </c>
      <c r="D483" t="s">
        <v>95</v>
      </c>
      <c r="E483" s="2" t="s">
        <v>918</v>
      </c>
      <c r="F483">
        <v>7</v>
      </c>
      <c r="G483" t="s">
        <v>20</v>
      </c>
      <c r="H483" s="2" t="s">
        <v>918</v>
      </c>
      <c r="I483">
        <v>4</v>
      </c>
      <c r="J483" t="str">
        <f>IF(Table1[[#This Row],[Resolution_Date]]="NA","Unresolved","Resolved")</f>
        <v>Resolved</v>
      </c>
      <c r="K483">
        <f>IF(Table1[[#This Row],[Resolution_Date]]="NA"," ",Table1[[#This Row],[Resolution_Date]]-Table1[[#This Row],[Complaint_Date]])</f>
        <v>0</v>
      </c>
      <c r="L483" t="str">
        <f>TEXT(Table1[[#This Row],[Complaint_Date]],"MMM")</f>
        <v>Apr</v>
      </c>
      <c r="M483" t="str">
        <f>IF(Table1[[#This Row],[Resolution_Time_Hours]]&lt;=24,"Fast",IF(Table1[[#This Row],[Resolution_Time_Hours]]&lt;=72,"Medium","Slow"))</f>
        <v>Fast</v>
      </c>
    </row>
    <row r="484" spans="1:13" x14ac:dyDescent="0.3">
      <c r="A484" t="s">
        <v>1291</v>
      </c>
      <c r="B484" t="s">
        <v>1292</v>
      </c>
      <c r="C484" t="s">
        <v>48</v>
      </c>
      <c r="D484" t="s">
        <v>38</v>
      </c>
      <c r="E484" s="2" t="s">
        <v>160</v>
      </c>
      <c r="F484">
        <v>25</v>
      </c>
      <c r="G484" t="s">
        <v>20</v>
      </c>
      <c r="H484" s="2" t="s">
        <v>572</v>
      </c>
      <c r="I484">
        <v>2</v>
      </c>
      <c r="J484" t="str">
        <f>IF(Table1[[#This Row],[Resolution_Date]]="NA","Unresolved","Resolved")</f>
        <v>Resolved</v>
      </c>
      <c r="K484">
        <f>IF(Table1[[#This Row],[Resolution_Date]]="NA"," ",Table1[[#This Row],[Resolution_Date]]-Table1[[#This Row],[Complaint_Date]])</f>
        <v>1</v>
      </c>
      <c r="L484" t="str">
        <f>TEXT(Table1[[#This Row],[Complaint_Date]],"MMM")</f>
        <v>May</v>
      </c>
      <c r="M484" t="str">
        <f>IF(Table1[[#This Row],[Resolution_Time_Hours]]&lt;=24,"Fast",IF(Table1[[#This Row],[Resolution_Time_Hours]]&lt;=72,"Medium","Slow"))</f>
        <v>Medium</v>
      </c>
    </row>
    <row r="485" spans="1:13" x14ac:dyDescent="0.3">
      <c r="A485" t="s">
        <v>1293</v>
      </c>
      <c r="B485" t="s">
        <v>1294</v>
      </c>
      <c r="C485" t="s">
        <v>43</v>
      </c>
      <c r="D485" t="s">
        <v>38</v>
      </c>
      <c r="E485" s="2" t="s">
        <v>205</v>
      </c>
      <c r="F485">
        <v>70</v>
      </c>
      <c r="G485" t="s">
        <v>14</v>
      </c>
      <c r="H485" s="2" t="s">
        <v>2820</v>
      </c>
      <c r="J485" t="str">
        <f>IF(Table1[[#This Row],[Resolution_Date]]="NA","Unresolved","Resolved")</f>
        <v>Unresolved</v>
      </c>
      <c r="K485" t="str">
        <f>IF(Table1[[#This Row],[Resolution_Date]]="NA"," ",Table1[[#This Row],[Resolution_Date]]-Table1[[#This Row],[Complaint_Date]])</f>
        <v xml:space="preserve"> </v>
      </c>
      <c r="L485" t="str">
        <f>TEXT(Table1[[#This Row],[Complaint_Date]],"MMM")</f>
        <v>Sep</v>
      </c>
      <c r="M485" t="str">
        <f>IF(Table1[[#This Row],[Resolution_Time_Hours]]&lt;=24,"Fast",IF(Table1[[#This Row],[Resolution_Time_Hours]]&lt;=72,"Medium","Slow"))</f>
        <v>Medium</v>
      </c>
    </row>
    <row r="486" spans="1:13" x14ac:dyDescent="0.3">
      <c r="A486" t="s">
        <v>1295</v>
      </c>
      <c r="B486" t="s">
        <v>1296</v>
      </c>
      <c r="C486" t="s">
        <v>11</v>
      </c>
      <c r="D486" t="s">
        <v>95</v>
      </c>
      <c r="E486" s="2" t="s">
        <v>39</v>
      </c>
      <c r="F486">
        <v>6</v>
      </c>
      <c r="G486" t="s">
        <v>20</v>
      </c>
      <c r="H486" s="2" t="s">
        <v>39</v>
      </c>
      <c r="I486">
        <v>5</v>
      </c>
      <c r="J486" t="str">
        <f>IF(Table1[[#This Row],[Resolution_Date]]="NA","Unresolved","Resolved")</f>
        <v>Resolved</v>
      </c>
      <c r="K486">
        <f>IF(Table1[[#This Row],[Resolution_Date]]="NA"," ",Table1[[#This Row],[Resolution_Date]]-Table1[[#This Row],[Complaint_Date]])</f>
        <v>0</v>
      </c>
      <c r="L486" t="str">
        <f>TEXT(Table1[[#This Row],[Complaint_Date]],"MMM")</f>
        <v>Jun</v>
      </c>
      <c r="M486" t="str">
        <f>IF(Table1[[#This Row],[Resolution_Time_Hours]]&lt;=24,"Fast",IF(Table1[[#This Row],[Resolution_Time_Hours]]&lt;=72,"Medium","Slow"))</f>
        <v>Fast</v>
      </c>
    </row>
    <row r="487" spans="1:13" x14ac:dyDescent="0.3">
      <c r="A487" t="s">
        <v>1297</v>
      </c>
      <c r="B487" t="s">
        <v>1298</v>
      </c>
      <c r="C487" t="s">
        <v>48</v>
      </c>
      <c r="D487" t="s">
        <v>95</v>
      </c>
      <c r="E487" s="2" t="s">
        <v>1071</v>
      </c>
      <c r="F487">
        <v>51</v>
      </c>
      <c r="G487" t="s">
        <v>14</v>
      </c>
      <c r="H487" s="2" t="s">
        <v>2820</v>
      </c>
      <c r="J487" t="str">
        <f>IF(Table1[[#This Row],[Resolution_Date]]="NA","Unresolved","Resolved")</f>
        <v>Unresolved</v>
      </c>
      <c r="K487" t="str">
        <f>IF(Table1[[#This Row],[Resolution_Date]]="NA"," ",Table1[[#This Row],[Resolution_Date]]-Table1[[#This Row],[Complaint_Date]])</f>
        <v xml:space="preserve"> </v>
      </c>
      <c r="L487" t="str">
        <f>TEXT(Table1[[#This Row],[Complaint_Date]],"MMM")</f>
        <v>Aug</v>
      </c>
      <c r="M487" t="str">
        <f>IF(Table1[[#This Row],[Resolution_Time_Hours]]&lt;=24,"Fast",IF(Table1[[#This Row],[Resolution_Time_Hours]]&lt;=72,"Medium","Slow"))</f>
        <v>Medium</v>
      </c>
    </row>
    <row r="488" spans="1:13" x14ac:dyDescent="0.3">
      <c r="A488" t="s">
        <v>1299</v>
      </c>
      <c r="B488" t="s">
        <v>1300</v>
      </c>
      <c r="C488" t="s">
        <v>34</v>
      </c>
      <c r="D488" t="s">
        <v>27</v>
      </c>
      <c r="E488" s="2" t="s">
        <v>878</v>
      </c>
      <c r="F488">
        <v>37</v>
      </c>
      <c r="G488" t="s">
        <v>40</v>
      </c>
      <c r="H488" s="2" t="s">
        <v>2820</v>
      </c>
      <c r="J488" t="str">
        <f>IF(Table1[[#This Row],[Resolution_Date]]="NA","Unresolved","Resolved")</f>
        <v>Unresolved</v>
      </c>
      <c r="K488" t="str">
        <f>IF(Table1[[#This Row],[Resolution_Date]]="NA"," ",Table1[[#This Row],[Resolution_Date]]-Table1[[#This Row],[Complaint_Date]])</f>
        <v xml:space="preserve"> </v>
      </c>
      <c r="L488" t="str">
        <f>TEXT(Table1[[#This Row],[Complaint_Date]],"MMM")</f>
        <v>Jul</v>
      </c>
      <c r="M488" t="str">
        <f>IF(Table1[[#This Row],[Resolution_Time_Hours]]&lt;=24,"Fast",IF(Table1[[#This Row],[Resolution_Time_Hours]]&lt;=72,"Medium","Slow"))</f>
        <v>Medium</v>
      </c>
    </row>
    <row r="489" spans="1:13" x14ac:dyDescent="0.3">
      <c r="A489" t="s">
        <v>1301</v>
      </c>
      <c r="B489" t="s">
        <v>1302</v>
      </c>
      <c r="C489" t="s">
        <v>70</v>
      </c>
      <c r="D489" t="s">
        <v>27</v>
      </c>
      <c r="E489" s="2" t="s">
        <v>480</v>
      </c>
      <c r="F489">
        <v>5</v>
      </c>
      <c r="G489" t="s">
        <v>20</v>
      </c>
      <c r="H489" s="2" t="s">
        <v>480</v>
      </c>
      <c r="I489">
        <v>5</v>
      </c>
      <c r="J489" t="str">
        <f>IF(Table1[[#This Row],[Resolution_Date]]="NA","Unresolved","Resolved")</f>
        <v>Resolved</v>
      </c>
      <c r="K489">
        <f>IF(Table1[[#This Row],[Resolution_Date]]="NA"," ",Table1[[#This Row],[Resolution_Date]]-Table1[[#This Row],[Complaint_Date]])</f>
        <v>0</v>
      </c>
      <c r="L489" t="str">
        <f>TEXT(Table1[[#This Row],[Complaint_Date]],"MMM")</f>
        <v>Sep</v>
      </c>
      <c r="M489" t="str">
        <f>IF(Table1[[#This Row],[Resolution_Time_Hours]]&lt;=24,"Fast",IF(Table1[[#This Row],[Resolution_Time_Hours]]&lt;=72,"Medium","Slow"))</f>
        <v>Fast</v>
      </c>
    </row>
    <row r="490" spans="1:13" x14ac:dyDescent="0.3">
      <c r="A490" t="s">
        <v>1303</v>
      </c>
      <c r="B490" t="s">
        <v>1304</v>
      </c>
      <c r="C490" t="s">
        <v>43</v>
      </c>
      <c r="D490" t="s">
        <v>95</v>
      </c>
      <c r="E490" s="2" t="s">
        <v>437</v>
      </c>
      <c r="F490">
        <v>72</v>
      </c>
      <c r="G490" t="s">
        <v>14</v>
      </c>
      <c r="H490" s="2" t="s">
        <v>2820</v>
      </c>
      <c r="J490" t="str">
        <f>IF(Table1[[#This Row],[Resolution_Date]]="NA","Unresolved","Resolved")</f>
        <v>Unresolved</v>
      </c>
      <c r="K490" t="str">
        <f>IF(Table1[[#This Row],[Resolution_Date]]="NA"," ",Table1[[#This Row],[Resolution_Date]]-Table1[[#This Row],[Complaint_Date]])</f>
        <v xml:space="preserve"> </v>
      </c>
      <c r="L490" t="str">
        <f>TEXT(Table1[[#This Row],[Complaint_Date]],"MMM")</f>
        <v>Oct</v>
      </c>
      <c r="M490" t="str">
        <f>IF(Table1[[#This Row],[Resolution_Time_Hours]]&lt;=24,"Fast",IF(Table1[[#This Row],[Resolution_Time_Hours]]&lt;=72,"Medium","Slow"))</f>
        <v>Medium</v>
      </c>
    </row>
    <row r="491" spans="1:13" x14ac:dyDescent="0.3">
      <c r="A491" t="s">
        <v>1305</v>
      </c>
      <c r="B491" t="s">
        <v>1306</v>
      </c>
      <c r="C491" t="s">
        <v>53</v>
      </c>
      <c r="D491" t="s">
        <v>18</v>
      </c>
      <c r="E491" s="2" t="s">
        <v>277</v>
      </c>
      <c r="F491">
        <v>4</v>
      </c>
      <c r="G491" t="s">
        <v>20</v>
      </c>
      <c r="H491" s="2" t="s">
        <v>277</v>
      </c>
      <c r="I491">
        <v>5</v>
      </c>
      <c r="J491" t="str">
        <f>IF(Table1[[#This Row],[Resolution_Date]]="NA","Unresolved","Resolved")</f>
        <v>Resolved</v>
      </c>
      <c r="K491">
        <f>IF(Table1[[#This Row],[Resolution_Date]]="NA"," ",Table1[[#This Row],[Resolution_Date]]-Table1[[#This Row],[Complaint_Date]])</f>
        <v>0</v>
      </c>
      <c r="L491" t="str">
        <f>TEXT(Table1[[#This Row],[Complaint_Date]],"MMM")</f>
        <v>Dec</v>
      </c>
      <c r="M491" t="str">
        <f>IF(Table1[[#This Row],[Resolution_Time_Hours]]&lt;=24,"Fast",IF(Table1[[#This Row],[Resolution_Time_Hours]]&lt;=72,"Medium","Slow"))</f>
        <v>Fast</v>
      </c>
    </row>
    <row r="492" spans="1:13" x14ac:dyDescent="0.3">
      <c r="A492" t="s">
        <v>1307</v>
      </c>
      <c r="B492" t="s">
        <v>1308</v>
      </c>
      <c r="C492" t="s">
        <v>48</v>
      </c>
      <c r="D492" t="s">
        <v>27</v>
      </c>
      <c r="E492" s="2" t="s">
        <v>654</v>
      </c>
      <c r="F492">
        <v>37</v>
      </c>
      <c r="G492" t="s">
        <v>20</v>
      </c>
      <c r="H492" s="2" t="s">
        <v>889</v>
      </c>
      <c r="I492">
        <v>5</v>
      </c>
      <c r="J492" t="str">
        <f>IF(Table1[[#This Row],[Resolution_Date]]="NA","Unresolved","Resolved")</f>
        <v>Resolved</v>
      </c>
      <c r="K492">
        <f>IF(Table1[[#This Row],[Resolution_Date]]="NA"," ",Table1[[#This Row],[Resolution_Date]]-Table1[[#This Row],[Complaint_Date]])</f>
        <v>1</v>
      </c>
      <c r="L492" t="str">
        <f>TEXT(Table1[[#This Row],[Complaint_Date]],"MMM")</f>
        <v>Dec</v>
      </c>
      <c r="M492" t="str">
        <f>IF(Table1[[#This Row],[Resolution_Time_Hours]]&lt;=24,"Fast",IF(Table1[[#This Row],[Resolution_Time_Hours]]&lt;=72,"Medium","Slow"))</f>
        <v>Medium</v>
      </c>
    </row>
    <row r="493" spans="1:13" x14ac:dyDescent="0.3">
      <c r="A493" t="s">
        <v>1309</v>
      </c>
      <c r="B493" t="s">
        <v>1310</v>
      </c>
      <c r="C493" t="s">
        <v>110</v>
      </c>
      <c r="D493" t="s">
        <v>27</v>
      </c>
      <c r="E493" s="2" t="s">
        <v>529</v>
      </c>
      <c r="F493">
        <v>21</v>
      </c>
      <c r="G493" t="s">
        <v>14</v>
      </c>
      <c r="H493" s="2" t="s">
        <v>2820</v>
      </c>
      <c r="J493" t="str">
        <f>IF(Table1[[#This Row],[Resolution_Date]]="NA","Unresolved","Resolved")</f>
        <v>Unresolved</v>
      </c>
      <c r="K493" t="str">
        <f>IF(Table1[[#This Row],[Resolution_Date]]="NA"," ",Table1[[#This Row],[Resolution_Date]]-Table1[[#This Row],[Complaint_Date]])</f>
        <v xml:space="preserve"> </v>
      </c>
      <c r="L493" t="str">
        <f>TEXT(Table1[[#This Row],[Complaint_Date]],"MMM")</f>
        <v>Dec</v>
      </c>
      <c r="M493" t="str">
        <f>IF(Table1[[#This Row],[Resolution_Time_Hours]]&lt;=24,"Fast",IF(Table1[[#This Row],[Resolution_Time_Hours]]&lt;=72,"Medium","Slow"))</f>
        <v>Fast</v>
      </c>
    </row>
    <row r="494" spans="1:13" x14ac:dyDescent="0.3">
      <c r="A494" t="s">
        <v>1311</v>
      </c>
      <c r="B494" t="s">
        <v>1312</v>
      </c>
      <c r="C494" t="s">
        <v>70</v>
      </c>
      <c r="D494" t="s">
        <v>12</v>
      </c>
      <c r="E494" s="2" t="s">
        <v>284</v>
      </c>
      <c r="F494">
        <v>4</v>
      </c>
      <c r="G494" t="s">
        <v>20</v>
      </c>
      <c r="H494" s="2" t="s">
        <v>284</v>
      </c>
      <c r="I494">
        <v>5</v>
      </c>
      <c r="J494" t="str">
        <f>IF(Table1[[#This Row],[Resolution_Date]]="NA","Unresolved","Resolved")</f>
        <v>Resolved</v>
      </c>
      <c r="K494">
        <f>IF(Table1[[#This Row],[Resolution_Date]]="NA"," ",Table1[[#This Row],[Resolution_Date]]-Table1[[#This Row],[Complaint_Date]])</f>
        <v>0</v>
      </c>
      <c r="L494" t="str">
        <f>TEXT(Table1[[#This Row],[Complaint_Date]],"MMM")</f>
        <v>Nov</v>
      </c>
      <c r="M494" t="str">
        <f>IF(Table1[[#This Row],[Resolution_Time_Hours]]&lt;=24,"Fast",IF(Table1[[#This Row],[Resolution_Time_Hours]]&lt;=72,"Medium","Slow"))</f>
        <v>Fast</v>
      </c>
    </row>
    <row r="495" spans="1:13" x14ac:dyDescent="0.3">
      <c r="A495" t="s">
        <v>1313</v>
      </c>
      <c r="B495" t="s">
        <v>1314</v>
      </c>
      <c r="C495" t="s">
        <v>70</v>
      </c>
      <c r="D495" t="s">
        <v>38</v>
      </c>
      <c r="E495" s="2" t="s">
        <v>785</v>
      </c>
      <c r="F495">
        <v>14</v>
      </c>
      <c r="G495" t="s">
        <v>20</v>
      </c>
      <c r="H495" s="2" t="s">
        <v>785</v>
      </c>
      <c r="I495">
        <v>3</v>
      </c>
      <c r="J495" t="str">
        <f>IF(Table1[[#This Row],[Resolution_Date]]="NA","Unresolved","Resolved")</f>
        <v>Resolved</v>
      </c>
      <c r="K495">
        <f>IF(Table1[[#This Row],[Resolution_Date]]="NA"," ",Table1[[#This Row],[Resolution_Date]]-Table1[[#This Row],[Complaint_Date]])</f>
        <v>0</v>
      </c>
      <c r="L495" t="str">
        <f>TEXT(Table1[[#This Row],[Complaint_Date]],"MMM")</f>
        <v>Nov</v>
      </c>
      <c r="M495" t="str">
        <f>IF(Table1[[#This Row],[Resolution_Time_Hours]]&lt;=24,"Fast",IF(Table1[[#This Row],[Resolution_Time_Hours]]&lt;=72,"Medium","Slow"))</f>
        <v>Fast</v>
      </c>
    </row>
    <row r="496" spans="1:13" x14ac:dyDescent="0.3">
      <c r="A496" t="s">
        <v>1315</v>
      </c>
      <c r="B496" t="s">
        <v>1316</v>
      </c>
      <c r="C496" t="s">
        <v>43</v>
      </c>
      <c r="D496" t="s">
        <v>12</v>
      </c>
      <c r="E496" s="2" t="s">
        <v>1317</v>
      </c>
      <c r="F496">
        <v>26</v>
      </c>
      <c r="G496" t="s">
        <v>20</v>
      </c>
      <c r="H496" s="2" t="s">
        <v>1318</v>
      </c>
      <c r="I496">
        <v>2</v>
      </c>
      <c r="J496" t="str">
        <f>IF(Table1[[#This Row],[Resolution_Date]]="NA","Unresolved","Resolved")</f>
        <v>Resolved</v>
      </c>
      <c r="K496">
        <f>IF(Table1[[#This Row],[Resolution_Date]]="NA"," ",Table1[[#This Row],[Resolution_Date]]-Table1[[#This Row],[Complaint_Date]])</f>
        <v>1</v>
      </c>
      <c r="L496" t="str">
        <f>TEXT(Table1[[#This Row],[Complaint_Date]],"MMM")</f>
        <v>Jun</v>
      </c>
      <c r="M496" t="str">
        <f>IF(Table1[[#This Row],[Resolution_Time_Hours]]&lt;=24,"Fast",IF(Table1[[#This Row],[Resolution_Time_Hours]]&lt;=72,"Medium","Slow"))</f>
        <v>Medium</v>
      </c>
    </row>
    <row r="497" spans="1:13" x14ac:dyDescent="0.3">
      <c r="A497" t="s">
        <v>1319</v>
      </c>
      <c r="B497" t="s">
        <v>1320</v>
      </c>
      <c r="C497" t="s">
        <v>34</v>
      </c>
      <c r="D497" t="s">
        <v>38</v>
      </c>
      <c r="E497" s="2" t="s">
        <v>247</v>
      </c>
      <c r="F497">
        <v>37</v>
      </c>
      <c r="G497" t="s">
        <v>20</v>
      </c>
      <c r="H497" s="2" t="s">
        <v>1321</v>
      </c>
      <c r="I497">
        <v>2</v>
      </c>
      <c r="J497" t="str">
        <f>IF(Table1[[#This Row],[Resolution_Date]]="NA","Unresolved","Resolved")</f>
        <v>Resolved</v>
      </c>
      <c r="K497">
        <f>IF(Table1[[#This Row],[Resolution_Date]]="NA"," ",Table1[[#This Row],[Resolution_Date]]-Table1[[#This Row],[Complaint_Date]])</f>
        <v>1</v>
      </c>
      <c r="L497" t="str">
        <f>TEXT(Table1[[#This Row],[Complaint_Date]],"MMM")</f>
        <v>Jan</v>
      </c>
      <c r="M497" t="str">
        <f>IF(Table1[[#This Row],[Resolution_Time_Hours]]&lt;=24,"Fast",IF(Table1[[#This Row],[Resolution_Time_Hours]]&lt;=72,"Medium","Slow"))</f>
        <v>Medium</v>
      </c>
    </row>
    <row r="498" spans="1:13" x14ac:dyDescent="0.3">
      <c r="A498" t="s">
        <v>1322</v>
      </c>
      <c r="B498" t="s">
        <v>1323</v>
      </c>
      <c r="C498" t="s">
        <v>70</v>
      </c>
      <c r="D498" t="s">
        <v>95</v>
      </c>
      <c r="E498" s="2" t="s">
        <v>501</v>
      </c>
      <c r="F498">
        <v>9</v>
      </c>
      <c r="G498" t="s">
        <v>20</v>
      </c>
      <c r="H498" s="2" t="s">
        <v>501</v>
      </c>
      <c r="I498">
        <v>4</v>
      </c>
      <c r="J498" t="str">
        <f>IF(Table1[[#This Row],[Resolution_Date]]="NA","Unresolved","Resolved")</f>
        <v>Resolved</v>
      </c>
      <c r="K498">
        <f>IF(Table1[[#This Row],[Resolution_Date]]="NA"," ",Table1[[#This Row],[Resolution_Date]]-Table1[[#This Row],[Complaint_Date]])</f>
        <v>0</v>
      </c>
      <c r="L498" t="str">
        <f>TEXT(Table1[[#This Row],[Complaint_Date]],"MMM")</f>
        <v>Jun</v>
      </c>
      <c r="M498" t="str">
        <f>IF(Table1[[#This Row],[Resolution_Time_Hours]]&lt;=24,"Fast",IF(Table1[[#This Row],[Resolution_Time_Hours]]&lt;=72,"Medium","Slow"))</f>
        <v>Fast</v>
      </c>
    </row>
    <row r="499" spans="1:13" x14ac:dyDescent="0.3">
      <c r="A499" t="s">
        <v>1324</v>
      </c>
      <c r="B499" t="s">
        <v>1325</v>
      </c>
      <c r="C499" t="s">
        <v>110</v>
      </c>
      <c r="D499" t="s">
        <v>95</v>
      </c>
      <c r="E499" s="2" t="s">
        <v>205</v>
      </c>
      <c r="F499">
        <v>12</v>
      </c>
      <c r="G499" t="s">
        <v>20</v>
      </c>
      <c r="H499" s="2" t="s">
        <v>205</v>
      </c>
      <c r="I499">
        <v>4</v>
      </c>
      <c r="J499" t="str">
        <f>IF(Table1[[#This Row],[Resolution_Date]]="NA","Unresolved","Resolved")</f>
        <v>Resolved</v>
      </c>
      <c r="K499">
        <f>IF(Table1[[#This Row],[Resolution_Date]]="NA"," ",Table1[[#This Row],[Resolution_Date]]-Table1[[#This Row],[Complaint_Date]])</f>
        <v>0</v>
      </c>
      <c r="L499" t="str">
        <f>TEXT(Table1[[#This Row],[Complaint_Date]],"MMM")</f>
        <v>Sep</v>
      </c>
      <c r="M499" t="str">
        <f>IF(Table1[[#This Row],[Resolution_Time_Hours]]&lt;=24,"Fast",IF(Table1[[#This Row],[Resolution_Time_Hours]]&lt;=72,"Medium","Slow"))</f>
        <v>Fast</v>
      </c>
    </row>
    <row r="500" spans="1:13" x14ac:dyDescent="0.3">
      <c r="A500" t="s">
        <v>1326</v>
      </c>
      <c r="B500" t="s">
        <v>1327</v>
      </c>
      <c r="C500" t="s">
        <v>34</v>
      </c>
      <c r="D500" t="s">
        <v>27</v>
      </c>
      <c r="E500" s="2" t="s">
        <v>1328</v>
      </c>
      <c r="F500">
        <v>34</v>
      </c>
      <c r="G500" t="s">
        <v>40</v>
      </c>
      <c r="H500" s="2" t="s">
        <v>2820</v>
      </c>
      <c r="J500" t="str">
        <f>IF(Table1[[#This Row],[Resolution_Date]]="NA","Unresolved","Resolved")</f>
        <v>Unresolved</v>
      </c>
      <c r="K500" t="str">
        <f>IF(Table1[[#This Row],[Resolution_Date]]="NA"," ",Table1[[#This Row],[Resolution_Date]]-Table1[[#This Row],[Complaint_Date]])</f>
        <v xml:space="preserve"> </v>
      </c>
      <c r="L500" t="str">
        <f>TEXT(Table1[[#This Row],[Complaint_Date]],"MMM")</f>
        <v>Jan</v>
      </c>
      <c r="M500" t="str">
        <f>IF(Table1[[#This Row],[Resolution_Time_Hours]]&lt;=24,"Fast",IF(Table1[[#This Row],[Resolution_Time_Hours]]&lt;=72,"Medium","Slow"))</f>
        <v>Medium</v>
      </c>
    </row>
    <row r="501" spans="1:13" x14ac:dyDescent="0.3">
      <c r="A501" t="s">
        <v>1329</v>
      </c>
      <c r="B501" t="s">
        <v>1330</v>
      </c>
      <c r="C501" t="s">
        <v>43</v>
      </c>
      <c r="D501" t="s">
        <v>18</v>
      </c>
      <c r="E501" s="2" t="s">
        <v>809</v>
      </c>
      <c r="F501">
        <v>39</v>
      </c>
      <c r="G501" t="s">
        <v>20</v>
      </c>
      <c r="H501" s="2" t="s">
        <v>822</v>
      </c>
      <c r="I501">
        <v>2</v>
      </c>
      <c r="J501" t="str">
        <f>IF(Table1[[#This Row],[Resolution_Date]]="NA","Unresolved","Resolved")</f>
        <v>Resolved</v>
      </c>
      <c r="K501">
        <f>IF(Table1[[#This Row],[Resolution_Date]]="NA"," ",Table1[[#This Row],[Resolution_Date]]-Table1[[#This Row],[Complaint_Date]])</f>
        <v>1</v>
      </c>
      <c r="L501" t="str">
        <f>TEXT(Table1[[#This Row],[Complaint_Date]],"MMM")</f>
        <v>May</v>
      </c>
      <c r="M501" t="str">
        <f>IF(Table1[[#This Row],[Resolution_Time_Hours]]&lt;=24,"Fast",IF(Table1[[#This Row],[Resolution_Time_Hours]]&lt;=72,"Medium","Slow"))</f>
        <v>Medium</v>
      </c>
    </row>
    <row r="502" spans="1:13" x14ac:dyDescent="0.3">
      <c r="A502" t="s">
        <v>1331</v>
      </c>
      <c r="B502" t="s">
        <v>1332</v>
      </c>
      <c r="C502" t="s">
        <v>70</v>
      </c>
      <c r="D502" t="s">
        <v>95</v>
      </c>
      <c r="E502" s="2" t="s">
        <v>969</v>
      </c>
      <c r="F502">
        <v>24</v>
      </c>
      <c r="G502" t="s">
        <v>40</v>
      </c>
      <c r="H502" s="2" t="s">
        <v>2820</v>
      </c>
      <c r="J502" t="str">
        <f>IF(Table1[[#This Row],[Resolution_Date]]="NA","Unresolved","Resolved")</f>
        <v>Unresolved</v>
      </c>
      <c r="K502" t="str">
        <f>IF(Table1[[#This Row],[Resolution_Date]]="NA"," ",Table1[[#This Row],[Resolution_Date]]-Table1[[#This Row],[Complaint_Date]])</f>
        <v xml:space="preserve"> </v>
      </c>
      <c r="L502" t="str">
        <f>TEXT(Table1[[#This Row],[Complaint_Date]],"MMM")</f>
        <v>Aug</v>
      </c>
      <c r="M502" t="str">
        <f>IF(Table1[[#This Row],[Resolution_Time_Hours]]&lt;=24,"Fast",IF(Table1[[#This Row],[Resolution_Time_Hours]]&lt;=72,"Medium","Slow"))</f>
        <v>Fast</v>
      </c>
    </row>
    <row r="503" spans="1:13" x14ac:dyDescent="0.3">
      <c r="A503" t="s">
        <v>1333</v>
      </c>
      <c r="B503" t="s">
        <v>1334</v>
      </c>
      <c r="C503" t="s">
        <v>17</v>
      </c>
      <c r="D503" t="s">
        <v>18</v>
      </c>
      <c r="E503" s="2" t="s">
        <v>376</v>
      </c>
      <c r="F503">
        <v>26</v>
      </c>
      <c r="G503" t="s">
        <v>20</v>
      </c>
      <c r="H503" s="2" t="s">
        <v>666</v>
      </c>
      <c r="I503">
        <v>2</v>
      </c>
      <c r="J503" t="str">
        <f>IF(Table1[[#This Row],[Resolution_Date]]="NA","Unresolved","Resolved")</f>
        <v>Resolved</v>
      </c>
      <c r="K503">
        <f>IF(Table1[[#This Row],[Resolution_Date]]="NA"," ",Table1[[#This Row],[Resolution_Date]]-Table1[[#This Row],[Complaint_Date]])</f>
        <v>1</v>
      </c>
      <c r="L503" t="str">
        <f>TEXT(Table1[[#This Row],[Complaint_Date]],"MMM")</f>
        <v>Jul</v>
      </c>
      <c r="M503" t="str">
        <f>IF(Table1[[#This Row],[Resolution_Time_Hours]]&lt;=24,"Fast",IF(Table1[[#This Row],[Resolution_Time_Hours]]&lt;=72,"Medium","Slow"))</f>
        <v>Medium</v>
      </c>
    </row>
    <row r="504" spans="1:13" x14ac:dyDescent="0.3">
      <c r="A504" t="s">
        <v>1335</v>
      </c>
      <c r="B504" t="s">
        <v>1336</v>
      </c>
      <c r="C504" t="s">
        <v>11</v>
      </c>
      <c r="D504" t="s">
        <v>12</v>
      </c>
      <c r="E504" s="2" t="s">
        <v>428</v>
      </c>
      <c r="F504">
        <v>28</v>
      </c>
      <c r="G504" t="s">
        <v>20</v>
      </c>
      <c r="H504" s="2" t="s">
        <v>180</v>
      </c>
      <c r="I504">
        <v>2</v>
      </c>
      <c r="J504" t="str">
        <f>IF(Table1[[#This Row],[Resolution_Date]]="NA","Unresolved","Resolved")</f>
        <v>Resolved</v>
      </c>
      <c r="K504">
        <f>IF(Table1[[#This Row],[Resolution_Date]]="NA"," ",Table1[[#This Row],[Resolution_Date]]-Table1[[#This Row],[Complaint_Date]])</f>
        <v>1</v>
      </c>
      <c r="L504" t="str">
        <f>TEXT(Table1[[#This Row],[Complaint_Date]],"MMM")</f>
        <v>Apr</v>
      </c>
      <c r="M504" t="str">
        <f>IF(Table1[[#This Row],[Resolution_Time_Hours]]&lt;=24,"Fast",IF(Table1[[#This Row],[Resolution_Time_Hours]]&lt;=72,"Medium","Slow"))</f>
        <v>Medium</v>
      </c>
    </row>
    <row r="505" spans="1:13" x14ac:dyDescent="0.3">
      <c r="A505" t="s">
        <v>1337</v>
      </c>
      <c r="B505" t="s">
        <v>1338</v>
      </c>
      <c r="C505" t="s">
        <v>43</v>
      </c>
      <c r="D505" t="s">
        <v>12</v>
      </c>
      <c r="E505" s="2" t="s">
        <v>420</v>
      </c>
      <c r="F505">
        <v>56</v>
      </c>
      <c r="G505" t="s">
        <v>20</v>
      </c>
      <c r="H505" s="2" t="s">
        <v>954</v>
      </c>
      <c r="I505">
        <v>5</v>
      </c>
      <c r="J505" t="str">
        <f>IF(Table1[[#This Row],[Resolution_Date]]="NA","Unresolved","Resolved")</f>
        <v>Resolved</v>
      </c>
      <c r="K505">
        <f>IF(Table1[[#This Row],[Resolution_Date]]="NA"," ",Table1[[#This Row],[Resolution_Date]]-Table1[[#This Row],[Complaint_Date]])</f>
        <v>2</v>
      </c>
      <c r="L505" t="str">
        <f>TEXT(Table1[[#This Row],[Complaint_Date]],"MMM")</f>
        <v>Mar</v>
      </c>
      <c r="M505" t="str">
        <f>IF(Table1[[#This Row],[Resolution_Time_Hours]]&lt;=24,"Fast",IF(Table1[[#This Row],[Resolution_Time_Hours]]&lt;=72,"Medium","Slow"))</f>
        <v>Medium</v>
      </c>
    </row>
    <row r="506" spans="1:13" x14ac:dyDescent="0.3">
      <c r="A506" t="s">
        <v>1339</v>
      </c>
      <c r="B506" t="s">
        <v>1340</v>
      </c>
      <c r="C506" t="s">
        <v>110</v>
      </c>
      <c r="D506" t="s">
        <v>18</v>
      </c>
      <c r="E506" s="2" t="s">
        <v>228</v>
      </c>
      <c r="F506">
        <v>5</v>
      </c>
      <c r="G506" t="s">
        <v>20</v>
      </c>
      <c r="H506" s="2" t="s">
        <v>228</v>
      </c>
      <c r="I506">
        <v>5</v>
      </c>
      <c r="J506" t="str">
        <f>IF(Table1[[#This Row],[Resolution_Date]]="NA","Unresolved","Resolved")</f>
        <v>Resolved</v>
      </c>
      <c r="K506">
        <f>IF(Table1[[#This Row],[Resolution_Date]]="NA"," ",Table1[[#This Row],[Resolution_Date]]-Table1[[#This Row],[Complaint_Date]])</f>
        <v>0</v>
      </c>
      <c r="L506" t="str">
        <f>TEXT(Table1[[#This Row],[Complaint_Date]],"MMM")</f>
        <v>Apr</v>
      </c>
      <c r="M506" t="str">
        <f>IF(Table1[[#This Row],[Resolution_Time_Hours]]&lt;=24,"Fast",IF(Table1[[#This Row],[Resolution_Time_Hours]]&lt;=72,"Medium","Slow"))</f>
        <v>Fast</v>
      </c>
    </row>
    <row r="507" spans="1:13" x14ac:dyDescent="0.3">
      <c r="A507" t="s">
        <v>1341</v>
      </c>
      <c r="B507" t="s">
        <v>1342</v>
      </c>
      <c r="C507" t="s">
        <v>17</v>
      </c>
      <c r="D507" t="s">
        <v>95</v>
      </c>
      <c r="E507" s="2" t="s">
        <v>211</v>
      </c>
      <c r="F507">
        <v>23</v>
      </c>
      <c r="G507" t="s">
        <v>14</v>
      </c>
      <c r="H507" s="2" t="s">
        <v>2820</v>
      </c>
      <c r="J507" t="str">
        <f>IF(Table1[[#This Row],[Resolution_Date]]="NA","Unresolved","Resolved")</f>
        <v>Unresolved</v>
      </c>
      <c r="K507" t="str">
        <f>IF(Table1[[#This Row],[Resolution_Date]]="NA"," ",Table1[[#This Row],[Resolution_Date]]-Table1[[#This Row],[Complaint_Date]])</f>
        <v xml:space="preserve"> </v>
      </c>
      <c r="L507" t="str">
        <f>TEXT(Table1[[#This Row],[Complaint_Date]],"MMM")</f>
        <v>Dec</v>
      </c>
      <c r="M507" t="str">
        <f>IF(Table1[[#This Row],[Resolution_Time_Hours]]&lt;=24,"Fast",IF(Table1[[#This Row],[Resolution_Time_Hours]]&lt;=72,"Medium","Slow"))</f>
        <v>Fast</v>
      </c>
    </row>
    <row r="508" spans="1:13" x14ac:dyDescent="0.3">
      <c r="A508" t="s">
        <v>1343</v>
      </c>
      <c r="B508" t="s">
        <v>1344</v>
      </c>
      <c r="C508" t="s">
        <v>17</v>
      </c>
      <c r="D508" t="s">
        <v>95</v>
      </c>
      <c r="E508" s="2" t="s">
        <v>170</v>
      </c>
      <c r="F508">
        <v>10</v>
      </c>
      <c r="G508" t="s">
        <v>14</v>
      </c>
      <c r="H508" s="2" t="s">
        <v>2820</v>
      </c>
      <c r="J508" t="str">
        <f>IF(Table1[[#This Row],[Resolution_Date]]="NA","Unresolved","Resolved")</f>
        <v>Unresolved</v>
      </c>
      <c r="K508" t="str">
        <f>IF(Table1[[#This Row],[Resolution_Date]]="NA"," ",Table1[[#This Row],[Resolution_Date]]-Table1[[#This Row],[Complaint_Date]])</f>
        <v xml:space="preserve"> </v>
      </c>
      <c r="L508" t="str">
        <f>TEXT(Table1[[#This Row],[Complaint_Date]],"MMM")</f>
        <v>Aug</v>
      </c>
      <c r="M508" t="str">
        <f>IF(Table1[[#This Row],[Resolution_Time_Hours]]&lt;=24,"Fast",IF(Table1[[#This Row],[Resolution_Time_Hours]]&lt;=72,"Medium","Slow"))</f>
        <v>Fast</v>
      </c>
    </row>
    <row r="509" spans="1:13" x14ac:dyDescent="0.3">
      <c r="A509" t="s">
        <v>1345</v>
      </c>
      <c r="B509" t="s">
        <v>1346</v>
      </c>
      <c r="C509" t="s">
        <v>70</v>
      </c>
      <c r="D509" t="s">
        <v>95</v>
      </c>
      <c r="E509" s="2" t="s">
        <v>1347</v>
      </c>
      <c r="F509">
        <v>7</v>
      </c>
      <c r="G509" t="s">
        <v>20</v>
      </c>
      <c r="H509" s="2" t="s">
        <v>1347</v>
      </c>
      <c r="I509">
        <v>5</v>
      </c>
      <c r="J509" t="str">
        <f>IF(Table1[[#This Row],[Resolution_Date]]="NA","Unresolved","Resolved")</f>
        <v>Resolved</v>
      </c>
      <c r="K509">
        <f>IF(Table1[[#This Row],[Resolution_Date]]="NA"," ",Table1[[#This Row],[Resolution_Date]]-Table1[[#This Row],[Complaint_Date]])</f>
        <v>0</v>
      </c>
      <c r="L509" t="str">
        <f>TEXT(Table1[[#This Row],[Complaint_Date]],"MMM")</f>
        <v>Jun</v>
      </c>
      <c r="M509" t="str">
        <f>IF(Table1[[#This Row],[Resolution_Time_Hours]]&lt;=24,"Fast",IF(Table1[[#This Row],[Resolution_Time_Hours]]&lt;=72,"Medium","Slow"))</f>
        <v>Fast</v>
      </c>
    </row>
    <row r="510" spans="1:13" x14ac:dyDescent="0.3">
      <c r="A510" t="s">
        <v>1348</v>
      </c>
      <c r="B510" t="s">
        <v>1349</v>
      </c>
      <c r="C510" t="s">
        <v>34</v>
      </c>
      <c r="D510" t="s">
        <v>95</v>
      </c>
      <c r="E510" s="2" t="s">
        <v>413</v>
      </c>
      <c r="F510">
        <v>43</v>
      </c>
      <c r="G510" t="s">
        <v>40</v>
      </c>
      <c r="H510" s="2" t="s">
        <v>2820</v>
      </c>
      <c r="J510" t="str">
        <f>IF(Table1[[#This Row],[Resolution_Date]]="NA","Unresolved","Resolved")</f>
        <v>Unresolved</v>
      </c>
      <c r="K510" t="str">
        <f>IF(Table1[[#This Row],[Resolution_Date]]="NA"," ",Table1[[#This Row],[Resolution_Date]]-Table1[[#This Row],[Complaint_Date]])</f>
        <v xml:space="preserve"> </v>
      </c>
      <c r="L510" t="str">
        <f>TEXT(Table1[[#This Row],[Complaint_Date]],"MMM")</f>
        <v>Jun</v>
      </c>
      <c r="M510" t="str">
        <f>IF(Table1[[#This Row],[Resolution_Time_Hours]]&lt;=24,"Fast",IF(Table1[[#This Row],[Resolution_Time_Hours]]&lt;=72,"Medium","Slow"))</f>
        <v>Medium</v>
      </c>
    </row>
    <row r="511" spans="1:13" x14ac:dyDescent="0.3">
      <c r="A511" t="s">
        <v>1350</v>
      </c>
      <c r="B511" t="s">
        <v>1351</v>
      </c>
      <c r="C511" t="s">
        <v>48</v>
      </c>
      <c r="D511" t="s">
        <v>95</v>
      </c>
      <c r="E511" s="2" t="s">
        <v>117</v>
      </c>
      <c r="F511">
        <v>6</v>
      </c>
      <c r="G511" t="s">
        <v>20</v>
      </c>
      <c r="H511" s="2" t="s">
        <v>117</v>
      </c>
      <c r="I511">
        <v>5</v>
      </c>
      <c r="J511" t="str">
        <f>IF(Table1[[#This Row],[Resolution_Date]]="NA","Unresolved","Resolved")</f>
        <v>Resolved</v>
      </c>
      <c r="K511">
        <f>IF(Table1[[#This Row],[Resolution_Date]]="NA"," ",Table1[[#This Row],[Resolution_Date]]-Table1[[#This Row],[Complaint_Date]])</f>
        <v>0</v>
      </c>
      <c r="L511" t="str">
        <f>TEXT(Table1[[#This Row],[Complaint_Date]],"MMM")</f>
        <v>Jan</v>
      </c>
      <c r="M511" t="str">
        <f>IF(Table1[[#This Row],[Resolution_Time_Hours]]&lt;=24,"Fast",IF(Table1[[#This Row],[Resolution_Time_Hours]]&lt;=72,"Medium","Slow"))</f>
        <v>Fast</v>
      </c>
    </row>
    <row r="512" spans="1:13" x14ac:dyDescent="0.3">
      <c r="A512" t="s">
        <v>1352</v>
      </c>
      <c r="B512" t="s">
        <v>1353</v>
      </c>
      <c r="C512" t="s">
        <v>110</v>
      </c>
      <c r="D512" t="s">
        <v>38</v>
      </c>
      <c r="E512" s="2" t="s">
        <v>718</v>
      </c>
      <c r="F512">
        <v>17</v>
      </c>
      <c r="G512" t="s">
        <v>20</v>
      </c>
      <c r="H512" s="2" t="s">
        <v>718</v>
      </c>
      <c r="I512">
        <v>3</v>
      </c>
      <c r="J512" t="str">
        <f>IF(Table1[[#This Row],[Resolution_Date]]="NA","Unresolved","Resolved")</f>
        <v>Resolved</v>
      </c>
      <c r="K512">
        <f>IF(Table1[[#This Row],[Resolution_Date]]="NA"," ",Table1[[#This Row],[Resolution_Date]]-Table1[[#This Row],[Complaint_Date]])</f>
        <v>0</v>
      </c>
      <c r="L512" t="str">
        <f>TEXT(Table1[[#This Row],[Complaint_Date]],"MMM")</f>
        <v>Mar</v>
      </c>
      <c r="M512" t="str">
        <f>IF(Table1[[#This Row],[Resolution_Time_Hours]]&lt;=24,"Fast",IF(Table1[[#This Row],[Resolution_Time_Hours]]&lt;=72,"Medium","Slow"))</f>
        <v>Fast</v>
      </c>
    </row>
    <row r="513" spans="1:13" x14ac:dyDescent="0.3">
      <c r="A513" t="s">
        <v>1354</v>
      </c>
      <c r="B513" t="s">
        <v>1355</v>
      </c>
      <c r="C513" t="s">
        <v>53</v>
      </c>
      <c r="D513" t="s">
        <v>18</v>
      </c>
      <c r="E513" s="2" t="s">
        <v>809</v>
      </c>
      <c r="F513">
        <v>10</v>
      </c>
      <c r="G513" t="s">
        <v>20</v>
      </c>
      <c r="H513" s="2" t="s">
        <v>809</v>
      </c>
      <c r="I513">
        <v>4</v>
      </c>
      <c r="J513" t="str">
        <f>IF(Table1[[#This Row],[Resolution_Date]]="NA","Unresolved","Resolved")</f>
        <v>Resolved</v>
      </c>
      <c r="K513">
        <f>IF(Table1[[#This Row],[Resolution_Date]]="NA"," ",Table1[[#This Row],[Resolution_Date]]-Table1[[#This Row],[Complaint_Date]])</f>
        <v>0</v>
      </c>
      <c r="L513" t="str">
        <f>TEXT(Table1[[#This Row],[Complaint_Date]],"MMM")</f>
        <v>May</v>
      </c>
      <c r="M513" t="str">
        <f>IF(Table1[[#This Row],[Resolution_Time_Hours]]&lt;=24,"Fast",IF(Table1[[#This Row],[Resolution_Time_Hours]]&lt;=72,"Medium","Slow"))</f>
        <v>Fast</v>
      </c>
    </row>
    <row r="514" spans="1:13" x14ac:dyDescent="0.3">
      <c r="A514" t="s">
        <v>1356</v>
      </c>
      <c r="B514" t="s">
        <v>1357</v>
      </c>
      <c r="C514" t="s">
        <v>11</v>
      </c>
      <c r="D514" t="s">
        <v>95</v>
      </c>
      <c r="E514" s="2" t="s">
        <v>1143</v>
      </c>
      <c r="F514">
        <v>36</v>
      </c>
      <c r="G514" t="s">
        <v>20</v>
      </c>
      <c r="H514" s="2" t="s">
        <v>247</v>
      </c>
      <c r="I514">
        <v>5</v>
      </c>
      <c r="J514" t="str">
        <f>IF(Table1[[#This Row],[Resolution_Date]]="NA","Unresolved","Resolved")</f>
        <v>Resolved</v>
      </c>
      <c r="K514">
        <f>IF(Table1[[#This Row],[Resolution_Date]]="NA"," ",Table1[[#This Row],[Resolution_Date]]-Table1[[#This Row],[Complaint_Date]])</f>
        <v>1</v>
      </c>
      <c r="L514" t="str">
        <f>TEXT(Table1[[#This Row],[Complaint_Date]],"MMM")</f>
        <v>Jan</v>
      </c>
      <c r="M514" t="str">
        <f>IF(Table1[[#This Row],[Resolution_Time_Hours]]&lt;=24,"Fast",IF(Table1[[#This Row],[Resolution_Time_Hours]]&lt;=72,"Medium","Slow"))</f>
        <v>Medium</v>
      </c>
    </row>
    <row r="515" spans="1:13" x14ac:dyDescent="0.3">
      <c r="A515" t="s">
        <v>1358</v>
      </c>
      <c r="B515" t="s">
        <v>1359</v>
      </c>
      <c r="C515" t="s">
        <v>17</v>
      </c>
      <c r="D515" t="s">
        <v>12</v>
      </c>
      <c r="E515" s="2" t="s">
        <v>622</v>
      </c>
      <c r="F515">
        <v>36</v>
      </c>
      <c r="G515" t="s">
        <v>40</v>
      </c>
      <c r="H515" s="2" t="s">
        <v>2820</v>
      </c>
      <c r="J515" t="str">
        <f>IF(Table1[[#This Row],[Resolution_Date]]="NA","Unresolved","Resolved")</f>
        <v>Unresolved</v>
      </c>
      <c r="K515" t="str">
        <f>IF(Table1[[#This Row],[Resolution_Date]]="NA"," ",Table1[[#This Row],[Resolution_Date]]-Table1[[#This Row],[Complaint_Date]])</f>
        <v xml:space="preserve"> </v>
      </c>
      <c r="L515" t="str">
        <f>TEXT(Table1[[#This Row],[Complaint_Date]],"MMM")</f>
        <v>Mar</v>
      </c>
      <c r="M515" t="str">
        <f>IF(Table1[[#This Row],[Resolution_Time_Hours]]&lt;=24,"Fast",IF(Table1[[#This Row],[Resolution_Time_Hours]]&lt;=72,"Medium","Slow"))</f>
        <v>Medium</v>
      </c>
    </row>
    <row r="516" spans="1:13" x14ac:dyDescent="0.3">
      <c r="A516" t="s">
        <v>1360</v>
      </c>
      <c r="B516" t="s">
        <v>1361</v>
      </c>
      <c r="C516" t="s">
        <v>53</v>
      </c>
      <c r="D516" t="s">
        <v>18</v>
      </c>
      <c r="E516" s="2" t="s">
        <v>1164</v>
      </c>
      <c r="F516">
        <v>7</v>
      </c>
      <c r="G516" t="s">
        <v>14</v>
      </c>
      <c r="H516" s="2" t="s">
        <v>2820</v>
      </c>
      <c r="J516" t="str">
        <f>IF(Table1[[#This Row],[Resolution_Date]]="NA","Unresolved","Resolved")</f>
        <v>Unresolved</v>
      </c>
      <c r="K516" t="str">
        <f>IF(Table1[[#This Row],[Resolution_Date]]="NA"," ",Table1[[#This Row],[Resolution_Date]]-Table1[[#This Row],[Complaint_Date]])</f>
        <v xml:space="preserve"> </v>
      </c>
      <c r="L516" t="str">
        <f>TEXT(Table1[[#This Row],[Complaint_Date]],"MMM")</f>
        <v>Dec</v>
      </c>
      <c r="M516" t="str">
        <f>IF(Table1[[#This Row],[Resolution_Time_Hours]]&lt;=24,"Fast",IF(Table1[[#This Row],[Resolution_Time_Hours]]&lt;=72,"Medium","Slow"))</f>
        <v>Fast</v>
      </c>
    </row>
    <row r="517" spans="1:13" x14ac:dyDescent="0.3">
      <c r="A517" t="s">
        <v>1362</v>
      </c>
      <c r="B517" t="s">
        <v>1363</v>
      </c>
      <c r="C517" t="s">
        <v>17</v>
      </c>
      <c r="D517" t="s">
        <v>12</v>
      </c>
      <c r="E517" s="2" t="s">
        <v>360</v>
      </c>
      <c r="F517">
        <v>15</v>
      </c>
      <c r="G517" t="s">
        <v>20</v>
      </c>
      <c r="H517" s="2" t="s">
        <v>360</v>
      </c>
      <c r="I517">
        <v>3</v>
      </c>
      <c r="J517" t="str">
        <f>IF(Table1[[#This Row],[Resolution_Date]]="NA","Unresolved","Resolved")</f>
        <v>Resolved</v>
      </c>
      <c r="K517">
        <f>IF(Table1[[#This Row],[Resolution_Date]]="NA"," ",Table1[[#This Row],[Resolution_Date]]-Table1[[#This Row],[Complaint_Date]])</f>
        <v>0</v>
      </c>
      <c r="L517" t="str">
        <f>TEXT(Table1[[#This Row],[Complaint_Date]],"MMM")</f>
        <v>Oct</v>
      </c>
      <c r="M517" t="str">
        <f>IF(Table1[[#This Row],[Resolution_Time_Hours]]&lt;=24,"Fast",IF(Table1[[#This Row],[Resolution_Time_Hours]]&lt;=72,"Medium","Slow"))</f>
        <v>Fast</v>
      </c>
    </row>
    <row r="518" spans="1:13" x14ac:dyDescent="0.3">
      <c r="A518" t="s">
        <v>1364</v>
      </c>
      <c r="B518" t="s">
        <v>1365</v>
      </c>
      <c r="C518" t="s">
        <v>53</v>
      </c>
      <c r="D518" t="s">
        <v>12</v>
      </c>
      <c r="E518" s="2" t="s">
        <v>622</v>
      </c>
      <c r="F518">
        <v>6</v>
      </c>
      <c r="G518" t="s">
        <v>20</v>
      </c>
      <c r="H518" s="2" t="s">
        <v>622</v>
      </c>
      <c r="I518">
        <v>5</v>
      </c>
      <c r="J518" t="str">
        <f>IF(Table1[[#This Row],[Resolution_Date]]="NA","Unresolved","Resolved")</f>
        <v>Resolved</v>
      </c>
      <c r="K518">
        <f>IF(Table1[[#This Row],[Resolution_Date]]="NA"," ",Table1[[#This Row],[Resolution_Date]]-Table1[[#This Row],[Complaint_Date]])</f>
        <v>0</v>
      </c>
      <c r="L518" t="str">
        <f>TEXT(Table1[[#This Row],[Complaint_Date]],"MMM")</f>
        <v>Mar</v>
      </c>
      <c r="M518" t="str">
        <f>IF(Table1[[#This Row],[Resolution_Time_Hours]]&lt;=24,"Fast",IF(Table1[[#This Row],[Resolution_Time_Hours]]&lt;=72,"Medium","Slow"))</f>
        <v>Fast</v>
      </c>
    </row>
    <row r="519" spans="1:13" x14ac:dyDescent="0.3">
      <c r="A519" t="s">
        <v>1366</v>
      </c>
      <c r="B519" t="s">
        <v>1367</v>
      </c>
      <c r="C519" t="s">
        <v>43</v>
      </c>
      <c r="D519" t="s">
        <v>38</v>
      </c>
      <c r="E519" s="2" t="s">
        <v>1368</v>
      </c>
      <c r="F519">
        <v>28</v>
      </c>
      <c r="G519" t="s">
        <v>20</v>
      </c>
      <c r="H519" s="2" t="s">
        <v>214</v>
      </c>
      <c r="I519">
        <v>5</v>
      </c>
      <c r="J519" t="str">
        <f>IF(Table1[[#This Row],[Resolution_Date]]="NA","Unresolved","Resolved")</f>
        <v>Resolved</v>
      </c>
      <c r="K519">
        <f>IF(Table1[[#This Row],[Resolution_Date]]="NA"," ",Table1[[#This Row],[Resolution_Date]]-Table1[[#This Row],[Complaint_Date]])</f>
        <v>1</v>
      </c>
      <c r="L519" t="str">
        <f>TEXT(Table1[[#This Row],[Complaint_Date]],"MMM")</f>
        <v>May</v>
      </c>
      <c r="M519" t="str">
        <f>IF(Table1[[#This Row],[Resolution_Time_Hours]]&lt;=24,"Fast",IF(Table1[[#This Row],[Resolution_Time_Hours]]&lt;=72,"Medium","Slow"))</f>
        <v>Medium</v>
      </c>
    </row>
    <row r="520" spans="1:13" x14ac:dyDescent="0.3">
      <c r="A520" t="s">
        <v>1369</v>
      </c>
      <c r="B520" t="s">
        <v>1370</v>
      </c>
      <c r="C520" t="s">
        <v>110</v>
      </c>
      <c r="D520" t="s">
        <v>18</v>
      </c>
      <c r="E520" s="2" t="s">
        <v>1173</v>
      </c>
      <c r="F520">
        <v>8</v>
      </c>
      <c r="G520" t="s">
        <v>20</v>
      </c>
      <c r="H520" s="2" t="s">
        <v>1173</v>
      </c>
      <c r="I520">
        <v>5</v>
      </c>
      <c r="J520" t="str">
        <f>IF(Table1[[#This Row],[Resolution_Date]]="NA","Unresolved","Resolved")</f>
        <v>Resolved</v>
      </c>
      <c r="K520">
        <f>IF(Table1[[#This Row],[Resolution_Date]]="NA"," ",Table1[[#This Row],[Resolution_Date]]-Table1[[#This Row],[Complaint_Date]])</f>
        <v>0</v>
      </c>
      <c r="L520" t="str">
        <f>TEXT(Table1[[#This Row],[Complaint_Date]],"MMM")</f>
        <v>Dec</v>
      </c>
      <c r="M520" t="str">
        <f>IF(Table1[[#This Row],[Resolution_Time_Hours]]&lt;=24,"Fast",IF(Table1[[#This Row],[Resolution_Time_Hours]]&lt;=72,"Medium","Slow"))</f>
        <v>Fast</v>
      </c>
    </row>
    <row r="521" spans="1:13" x14ac:dyDescent="0.3">
      <c r="A521" t="s">
        <v>1371</v>
      </c>
      <c r="B521" t="s">
        <v>1372</v>
      </c>
      <c r="C521" t="s">
        <v>70</v>
      </c>
      <c r="D521" t="s">
        <v>18</v>
      </c>
      <c r="E521" s="2" t="s">
        <v>45</v>
      </c>
      <c r="F521">
        <v>12</v>
      </c>
      <c r="G521" t="s">
        <v>20</v>
      </c>
      <c r="H521" s="2" t="s">
        <v>45</v>
      </c>
      <c r="I521">
        <v>4</v>
      </c>
      <c r="J521" t="str">
        <f>IF(Table1[[#This Row],[Resolution_Date]]="NA","Unresolved","Resolved")</f>
        <v>Resolved</v>
      </c>
      <c r="K521">
        <f>IF(Table1[[#This Row],[Resolution_Date]]="NA"," ",Table1[[#This Row],[Resolution_Date]]-Table1[[#This Row],[Complaint_Date]])</f>
        <v>0</v>
      </c>
      <c r="L521" t="str">
        <f>TEXT(Table1[[#This Row],[Complaint_Date]],"MMM")</f>
        <v>Nov</v>
      </c>
      <c r="M521" t="str">
        <f>IF(Table1[[#This Row],[Resolution_Time_Hours]]&lt;=24,"Fast",IF(Table1[[#This Row],[Resolution_Time_Hours]]&lt;=72,"Medium","Slow"))</f>
        <v>Fast</v>
      </c>
    </row>
    <row r="522" spans="1:13" x14ac:dyDescent="0.3">
      <c r="A522" t="s">
        <v>1373</v>
      </c>
      <c r="B522" t="s">
        <v>1374</v>
      </c>
      <c r="C522" t="s">
        <v>17</v>
      </c>
      <c r="D522" t="s">
        <v>38</v>
      </c>
      <c r="E522" s="2" t="s">
        <v>1368</v>
      </c>
      <c r="F522">
        <v>11</v>
      </c>
      <c r="G522" t="s">
        <v>20</v>
      </c>
      <c r="H522" s="2" t="s">
        <v>1368</v>
      </c>
      <c r="I522">
        <v>4</v>
      </c>
      <c r="J522" t="str">
        <f>IF(Table1[[#This Row],[Resolution_Date]]="NA","Unresolved","Resolved")</f>
        <v>Resolved</v>
      </c>
      <c r="K522">
        <f>IF(Table1[[#This Row],[Resolution_Date]]="NA"," ",Table1[[#This Row],[Resolution_Date]]-Table1[[#This Row],[Complaint_Date]])</f>
        <v>0</v>
      </c>
      <c r="L522" t="str">
        <f>TEXT(Table1[[#This Row],[Complaint_Date]],"MMM")</f>
        <v>May</v>
      </c>
      <c r="M522" t="str">
        <f>IF(Table1[[#This Row],[Resolution_Time_Hours]]&lt;=24,"Fast",IF(Table1[[#This Row],[Resolution_Time_Hours]]&lt;=72,"Medium","Slow"))</f>
        <v>Fast</v>
      </c>
    </row>
    <row r="523" spans="1:13" x14ac:dyDescent="0.3">
      <c r="A523" t="s">
        <v>1375</v>
      </c>
      <c r="B523" t="s">
        <v>1376</v>
      </c>
      <c r="C523" t="s">
        <v>48</v>
      </c>
      <c r="D523" t="s">
        <v>12</v>
      </c>
      <c r="E523" s="2" t="s">
        <v>452</v>
      </c>
      <c r="F523">
        <v>70</v>
      </c>
      <c r="G523" t="s">
        <v>40</v>
      </c>
      <c r="H523" s="2" t="s">
        <v>2820</v>
      </c>
      <c r="J523" t="str">
        <f>IF(Table1[[#This Row],[Resolution_Date]]="NA","Unresolved","Resolved")</f>
        <v>Unresolved</v>
      </c>
      <c r="K523" t="str">
        <f>IF(Table1[[#This Row],[Resolution_Date]]="NA"," ",Table1[[#This Row],[Resolution_Date]]-Table1[[#This Row],[Complaint_Date]])</f>
        <v xml:space="preserve"> </v>
      </c>
      <c r="L523" t="str">
        <f>TEXT(Table1[[#This Row],[Complaint_Date]],"MMM")</f>
        <v>Dec</v>
      </c>
      <c r="M523" t="str">
        <f>IF(Table1[[#This Row],[Resolution_Time_Hours]]&lt;=24,"Fast",IF(Table1[[#This Row],[Resolution_Time_Hours]]&lt;=72,"Medium","Slow"))</f>
        <v>Medium</v>
      </c>
    </row>
    <row r="524" spans="1:13" x14ac:dyDescent="0.3">
      <c r="A524" t="s">
        <v>1377</v>
      </c>
      <c r="B524" t="s">
        <v>1378</v>
      </c>
      <c r="C524" t="s">
        <v>70</v>
      </c>
      <c r="D524" t="s">
        <v>18</v>
      </c>
      <c r="E524" s="2" t="s">
        <v>96</v>
      </c>
      <c r="F524">
        <v>2</v>
      </c>
      <c r="G524" t="s">
        <v>14</v>
      </c>
      <c r="H524" s="2" t="s">
        <v>2820</v>
      </c>
      <c r="J524" t="str">
        <f>IF(Table1[[#This Row],[Resolution_Date]]="NA","Unresolved","Resolved")</f>
        <v>Unresolved</v>
      </c>
      <c r="K524" t="str">
        <f>IF(Table1[[#This Row],[Resolution_Date]]="NA"," ",Table1[[#This Row],[Resolution_Date]]-Table1[[#This Row],[Complaint_Date]])</f>
        <v xml:space="preserve"> </v>
      </c>
      <c r="L524" t="str">
        <f>TEXT(Table1[[#This Row],[Complaint_Date]],"MMM")</f>
        <v>Feb</v>
      </c>
      <c r="M524" t="str">
        <f>IF(Table1[[#This Row],[Resolution_Time_Hours]]&lt;=24,"Fast",IF(Table1[[#This Row],[Resolution_Time_Hours]]&lt;=72,"Medium","Slow"))</f>
        <v>Fast</v>
      </c>
    </row>
    <row r="525" spans="1:13" x14ac:dyDescent="0.3">
      <c r="A525" t="s">
        <v>1379</v>
      </c>
      <c r="B525" t="s">
        <v>1380</v>
      </c>
      <c r="C525" t="s">
        <v>11</v>
      </c>
      <c r="D525" t="s">
        <v>12</v>
      </c>
      <c r="E525" s="2" t="s">
        <v>892</v>
      </c>
      <c r="F525">
        <v>39</v>
      </c>
      <c r="G525" t="s">
        <v>14</v>
      </c>
      <c r="H525" s="2" t="s">
        <v>2820</v>
      </c>
      <c r="J525" t="str">
        <f>IF(Table1[[#This Row],[Resolution_Date]]="NA","Unresolved","Resolved")</f>
        <v>Unresolved</v>
      </c>
      <c r="K525" t="str">
        <f>IF(Table1[[#This Row],[Resolution_Date]]="NA"," ",Table1[[#This Row],[Resolution_Date]]-Table1[[#This Row],[Complaint_Date]])</f>
        <v xml:space="preserve"> </v>
      </c>
      <c r="L525" t="str">
        <f>TEXT(Table1[[#This Row],[Complaint_Date]],"MMM")</f>
        <v>Dec</v>
      </c>
      <c r="M525" t="str">
        <f>IF(Table1[[#This Row],[Resolution_Time_Hours]]&lt;=24,"Fast",IF(Table1[[#This Row],[Resolution_Time_Hours]]&lt;=72,"Medium","Slow"))</f>
        <v>Medium</v>
      </c>
    </row>
    <row r="526" spans="1:13" x14ac:dyDescent="0.3">
      <c r="A526" t="s">
        <v>1381</v>
      </c>
      <c r="B526" t="s">
        <v>1382</v>
      </c>
      <c r="C526" t="s">
        <v>34</v>
      </c>
      <c r="D526" t="s">
        <v>38</v>
      </c>
      <c r="E526" s="2" t="s">
        <v>28</v>
      </c>
      <c r="F526">
        <v>37</v>
      </c>
      <c r="G526" t="s">
        <v>20</v>
      </c>
      <c r="H526" s="2" t="s">
        <v>165</v>
      </c>
      <c r="I526">
        <v>2</v>
      </c>
      <c r="J526" t="str">
        <f>IF(Table1[[#This Row],[Resolution_Date]]="NA","Unresolved","Resolved")</f>
        <v>Resolved</v>
      </c>
      <c r="K526">
        <f>IF(Table1[[#This Row],[Resolution_Date]]="NA"," ",Table1[[#This Row],[Resolution_Date]]-Table1[[#This Row],[Complaint_Date]])</f>
        <v>1</v>
      </c>
      <c r="L526" t="str">
        <f>TEXT(Table1[[#This Row],[Complaint_Date]],"MMM")</f>
        <v>May</v>
      </c>
      <c r="M526" t="str">
        <f>IF(Table1[[#This Row],[Resolution_Time_Hours]]&lt;=24,"Fast",IF(Table1[[#This Row],[Resolution_Time_Hours]]&lt;=72,"Medium","Slow"))</f>
        <v>Medium</v>
      </c>
    </row>
    <row r="527" spans="1:13" x14ac:dyDescent="0.3">
      <c r="A527" t="s">
        <v>1383</v>
      </c>
      <c r="B527" t="s">
        <v>1384</v>
      </c>
      <c r="C527" t="s">
        <v>11</v>
      </c>
      <c r="D527" t="s">
        <v>38</v>
      </c>
      <c r="E527" s="2" t="s">
        <v>1164</v>
      </c>
      <c r="F527">
        <v>44</v>
      </c>
      <c r="G527" t="s">
        <v>20</v>
      </c>
      <c r="H527" s="2" t="s">
        <v>654</v>
      </c>
      <c r="I527">
        <v>2</v>
      </c>
      <c r="J527" t="str">
        <f>IF(Table1[[#This Row],[Resolution_Date]]="NA","Unresolved","Resolved")</f>
        <v>Resolved</v>
      </c>
      <c r="K527">
        <f>IF(Table1[[#This Row],[Resolution_Date]]="NA"," ",Table1[[#This Row],[Resolution_Date]]-Table1[[#This Row],[Complaint_Date]])</f>
        <v>1</v>
      </c>
      <c r="L527" t="str">
        <f>TEXT(Table1[[#This Row],[Complaint_Date]],"MMM")</f>
        <v>Dec</v>
      </c>
      <c r="M527" t="str">
        <f>IF(Table1[[#This Row],[Resolution_Time_Hours]]&lt;=24,"Fast",IF(Table1[[#This Row],[Resolution_Time_Hours]]&lt;=72,"Medium","Slow"))</f>
        <v>Medium</v>
      </c>
    </row>
    <row r="528" spans="1:13" x14ac:dyDescent="0.3">
      <c r="A528" t="s">
        <v>1385</v>
      </c>
      <c r="B528" t="s">
        <v>1386</v>
      </c>
      <c r="C528" t="s">
        <v>70</v>
      </c>
      <c r="D528" t="s">
        <v>27</v>
      </c>
      <c r="E528" s="2" t="s">
        <v>690</v>
      </c>
      <c r="F528">
        <v>10</v>
      </c>
      <c r="G528" t="s">
        <v>20</v>
      </c>
      <c r="H528" s="2" t="s">
        <v>690</v>
      </c>
      <c r="I528">
        <v>4</v>
      </c>
      <c r="J528" t="str">
        <f>IF(Table1[[#This Row],[Resolution_Date]]="NA","Unresolved","Resolved")</f>
        <v>Resolved</v>
      </c>
      <c r="K528">
        <f>IF(Table1[[#This Row],[Resolution_Date]]="NA"," ",Table1[[#This Row],[Resolution_Date]]-Table1[[#This Row],[Complaint_Date]])</f>
        <v>0</v>
      </c>
      <c r="L528" t="str">
        <f>TEXT(Table1[[#This Row],[Complaint_Date]],"MMM")</f>
        <v>Jan</v>
      </c>
      <c r="M528" t="str">
        <f>IF(Table1[[#This Row],[Resolution_Time_Hours]]&lt;=24,"Fast",IF(Table1[[#This Row],[Resolution_Time_Hours]]&lt;=72,"Medium","Slow"))</f>
        <v>Fast</v>
      </c>
    </row>
    <row r="529" spans="1:13" x14ac:dyDescent="0.3">
      <c r="A529" t="s">
        <v>1387</v>
      </c>
      <c r="B529" t="s">
        <v>1388</v>
      </c>
      <c r="C529" t="s">
        <v>53</v>
      </c>
      <c r="D529" t="s">
        <v>12</v>
      </c>
      <c r="E529" s="2" t="s">
        <v>763</v>
      </c>
      <c r="F529">
        <v>8</v>
      </c>
      <c r="G529" t="s">
        <v>20</v>
      </c>
      <c r="H529" s="2" t="s">
        <v>763</v>
      </c>
      <c r="I529">
        <v>4</v>
      </c>
      <c r="J529" t="str">
        <f>IF(Table1[[#This Row],[Resolution_Date]]="NA","Unresolved","Resolved")</f>
        <v>Resolved</v>
      </c>
      <c r="K529">
        <f>IF(Table1[[#This Row],[Resolution_Date]]="NA"," ",Table1[[#This Row],[Resolution_Date]]-Table1[[#This Row],[Complaint_Date]])</f>
        <v>0</v>
      </c>
      <c r="L529" t="str">
        <f>TEXT(Table1[[#This Row],[Complaint_Date]],"MMM")</f>
        <v>Sep</v>
      </c>
      <c r="M529" t="str">
        <f>IF(Table1[[#This Row],[Resolution_Time_Hours]]&lt;=24,"Fast",IF(Table1[[#This Row],[Resolution_Time_Hours]]&lt;=72,"Medium","Slow"))</f>
        <v>Fast</v>
      </c>
    </row>
    <row r="530" spans="1:13" x14ac:dyDescent="0.3">
      <c r="A530" t="s">
        <v>1389</v>
      </c>
      <c r="B530" t="s">
        <v>1390</v>
      </c>
      <c r="C530" t="s">
        <v>34</v>
      </c>
      <c r="D530" t="s">
        <v>18</v>
      </c>
      <c r="E530" s="2" t="s">
        <v>939</v>
      </c>
      <c r="F530">
        <v>84</v>
      </c>
      <c r="G530" t="s">
        <v>20</v>
      </c>
      <c r="H530" s="2" t="s">
        <v>233</v>
      </c>
      <c r="I530">
        <v>1</v>
      </c>
      <c r="J530" t="str">
        <f>IF(Table1[[#This Row],[Resolution_Date]]="NA","Unresolved","Resolved")</f>
        <v>Resolved</v>
      </c>
      <c r="K530">
        <f>IF(Table1[[#This Row],[Resolution_Date]]="NA"," ",Table1[[#This Row],[Resolution_Date]]-Table1[[#This Row],[Complaint_Date]])</f>
        <v>3</v>
      </c>
      <c r="L530" t="str">
        <f>TEXT(Table1[[#This Row],[Complaint_Date]],"MMM")</f>
        <v>Apr</v>
      </c>
      <c r="M530" t="str">
        <f>IF(Table1[[#This Row],[Resolution_Time_Hours]]&lt;=24,"Fast",IF(Table1[[#This Row],[Resolution_Time_Hours]]&lt;=72,"Medium","Slow"))</f>
        <v>Slow</v>
      </c>
    </row>
    <row r="531" spans="1:13" x14ac:dyDescent="0.3">
      <c r="A531" t="s">
        <v>1391</v>
      </c>
      <c r="B531" t="s">
        <v>1392</v>
      </c>
      <c r="C531" t="s">
        <v>70</v>
      </c>
      <c r="D531" t="s">
        <v>12</v>
      </c>
      <c r="E531" s="2" t="s">
        <v>19</v>
      </c>
      <c r="F531">
        <v>16</v>
      </c>
      <c r="G531" t="s">
        <v>40</v>
      </c>
      <c r="H531" s="2" t="s">
        <v>2820</v>
      </c>
      <c r="J531" t="str">
        <f>IF(Table1[[#This Row],[Resolution_Date]]="NA","Unresolved","Resolved")</f>
        <v>Unresolved</v>
      </c>
      <c r="K531" t="str">
        <f>IF(Table1[[#This Row],[Resolution_Date]]="NA"," ",Table1[[#This Row],[Resolution_Date]]-Table1[[#This Row],[Complaint_Date]])</f>
        <v xml:space="preserve"> </v>
      </c>
      <c r="L531" t="str">
        <f>TEXT(Table1[[#This Row],[Complaint_Date]],"MMM")</f>
        <v>Oct</v>
      </c>
      <c r="M531" t="str">
        <f>IF(Table1[[#This Row],[Resolution_Time_Hours]]&lt;=24,"Fast",IF(Table1[[#This Row],[Resolution_Time_Hours]]&lt;=72,"Medium","Slow"))</f>
        <v>Fast</v>
      </c>
    </row>
    <row r="532" spans="1:13" x14ac:dyDescent="0.3">
      <c r="A532" t="s">
        <v>1393</v>
      </c>
      <c r="B532" t="s">
        <v>1394</v>
      </c>
      <c r="C532" t="s">
        <v>48</v>
      </c>
      <c r="D532" t="s">
        <v>12</v>
      </c>
      <c r="E532" s="2" t="s">
        <v>1395</v>
      </c>
      <c r="F532">
        <v>68</v>
      </c>
      <c r="G532" t="s">
        <v>20</v>
      </c>
      <c r="H532" s="2" t="s">
        <v>313</v>
      </c>
      <c r="I532">
        <v>1</v>
      </c>
      <c r="J532" t="str">
        <f>IF(Table1[[#This Row],[Resolution_Date]]="NA","Unresolved","Resolved")</f>
        <v>Resolved</v>
      </c>
      <c r="K532">
        <f>IF(Table1[[#This Row],[Resolution_Date]]="NA"," ",Table1[[#This Row],[Resolution_Date]]-Table1[[#This Row],[Complaint_Date]])</f>
        <v>2</v>
      </c>
      <c r="L532" t="str">
        <f>TEXT(Table1[[#This Row],[Complaint_Date]],"MMM")</f>
        <v>Apr</v>
      </c>
      <c r="M532" t="str">
        <f>IF(Table1[[#This Row],[Resolution_Time_Hours]]&lt;=24,"Fast",IF(Table1[[#This Row],[Resolution_Time_Hours]]&lt;=72,"Medium","Slow"))</f>
        <v>Medium</v>
      </c>
    </row>
    <row r="533" spans="1:13" x14ac:dyDescent="0.3">
      <c r="A533" t="s">
        <v>1396</v>
      </c>
      <c r="B533" t="s">
        <v>1397</v>
      </c>
      <c r="C533" t="s">
        <v>43</v>
      </c>
      <c r="D533" t="s">
        <v>27</v>
      </c>
      <c r="E533" s="2" t="s">
        <v>153</v>
      </c>
      <c r="F533">
        <v>48</v>
      </c>
      <c r="G533" t="s">
        <v>20</v>
      </c>
      <c r="H533" s="2" t="s">
        <v>1398</v>
      </c>
      <c r="I533">
        <v>2</v>
      </c>
      <c r="J533" t="str">
        <f>IF(Table1[[#This Row],[Resolution_Date]]="NA","Unresolved","Resolved")</f>
        <v>Resolved</v>
      </c>
      <c r="K533">
        <f>IF(Table1[[#This Row],[Resolution_Date]]="NA"," ",Table1[[#This Row],[Resolution_Date]]-Table1[[#This Row],[Complaint_Date]])</f>
        <v>2</v>
      </c>
      <c r="L533" t="str">
        <f>TEXT(Table1[[#This Row],[Complaint_Date]],"MMM")</f>
        <v>Jun</v>
      </c>
      <c r="M533" t="str">
        <f>IF(Table1[[#This Row],[Resolution_Time_Hours]]&lt;=24,"Fast",IF(Table1[[#This Row],[Resolution_Time_Hours]]&lt;=72,"Medium","Slow"))</f>
        <v>Medium</v>
      </c>
    </row>
    <row r="534" spans="1:13" x14ac:dyDescent="0.3">
      <c r="A534" t="s">
        <v>1399</v>
      </c>
      <c r="B534" t="s">
        <v>1400</v>
      </c>
      <c r="C534" t="s">
        <v>34</v>
      </c>
      <c r="D534" t="s">
        <v>38</v>
      </c>
      <c r="E534" s="2" t="s">
        <v>767</v>
      </c>
      <c r="F534">
        <v>76</v>
      </c>
      <c r="G534" t="s">
        <v>20</v>
      </c>
      <c r="H534" s="2" t="s">
        <v>292</v>
      </c>
      <c r="I534">
        <v>5</v>
      </c>
      <c r="J534" t="str">
        <f>IF(Table1[[#This Row],[Resolution_Date]]="NA","Unresolved","Resolved")</f>
        <v>Resolved</v>
      </c>
      <c r="K534">
        <f>IF(Table1[[#This Row],[Resolution_Date]]="NA"," ",Table1[[#This Row],[Resolution_Date]]-Table1[[#This Row],[Complaint_Date]])</f>
        <v>3</v>
      </c>
      <c r="L534" t="str">
        <f>TEXT(Table1[[#This Row],[Complaint_Date]],"MMM")</f>
        <v>Oct</v>
      </c>
      <c r="M534" t="str">
        <f>IF(Table1[[#This Row],[Resolution_Time_Hours]]&lt;=24,"Fast",IF(Table1[[#This Row],[Resolution_Time_Hours]]&lt;=72,"Medium","Slow"))</f>
        <v>Slow</v>
      </c>
    </row>
    <row r="535" spans="1:13" x14ac:dyDescent="0.3">
      <c r="A535" t="s">
        <v>1401</v>
      </c>
      <c r="B535" t="s">
        <v>1402</v>
      </c>
      <c r="C535" t="s">
        <v>11</v>
      </c>
      <c r="D535" t="s">
        <v>12</v>
      </c>
      <c r="E535" s="2" t="s">
        <v>883</v>
      </c>
      <c r="F535">
        <v>18</v>
      </c>
      <c r="G535" t="s">
        <v>14</v>
      </c>
      <c r="H535" s="2" t="s">
        <v>2820</v>
      </c>
      <c r="J535" t="str">
        <f>IF(Table1[[#This Row],[Resolution_Date]]="NA","Unresolved","Resolved")</f>
        <v>Unresolved</v>
      </c>
      <c r="K535" t="str">
        <f>IF(Table1[[#This Row],[Resolution_Date]]="NA"," ",Table1[[#This Row],[Resolution_Date]]-Table1[[#This Row],[Complaint_Date]])</f>
        <v xml:space="preserve"> </v>
      </c>
      <c r="L535" t="str">
        <f>TEXT(Table1[[#This Row],[Complaint_Date]],"MMM")</f>
        <v>Jun</v>
      </c>
      <c r="M535" t="str">
        <f>IF(Table1[[#This Row],[Resolution_Time_Hours]]&lt;=24,"Fast",IF(Table1[[#This Row],[Resolution_Time_Hours]]&lt;=72,"Medium","Slow"))</f>
        <v>Fast</v>
      </c>
    </row>
    <row r="536" spans="1:13" x14ac:dyDescent="0.3">
      <c r="A536" t="s">
        <v>1403</v>
      </c>
      <c r="B536" t="s">
        <v>1404</v>
      </c>
      <c r="C536" t="s">
        <v>34</v>
      </c>
      <c r="D536" t="s">
        <v>27</v>
      </c>
      <c r="E536" s="2" t="s">
        <v>250</v>
      </c>
      <c r="F536">
        <v>49</v>
      </c>
      <c r="G536" t="s">
        <v>20</v>
      </c>
      <c r="H536" s="2" t="s">
        <v>1405</v>
      </c>
      <c r="I536">
        <v>1</v>
      </c>
      <c r="J536" t="str">
        <f>IF(Table1[[#This Row],[Resolution_Date]]="NA","Unresolved","Resolved")</f>
        <v>Resolved</v>
      </c>
      <c r="K536">
        <f>IF(Table1[[#This Row],[Resolution_Date]]="NA"," ",Table1[[#This Row],[Resolution_Date]]-Table1[[#This Row],[Complaint_Date]])</f>
        <v>2</v>
      </c>
      <c r="L536" t="str">
        <f>TEXT(Table1[[#This Row],[Complaint_Date]],"MMM")</f>
        <v>Feb</v>
      </c>
      <c r="M536" t="str">
        <f>IF(Table1[[#This Row],[Resolution_Time_Hours]]&lt;=24,"Fast",IF(Table1[[#This Row],[Resolution_Time_Hours]]&lt;=72,"Medium","Slow"))</f>
        <v>Medium</v>
      </c>
    </row>
    <row r="537" spans="1:13" x14ac:dyDescent="0.3">
      <c r="A537" t="s">
        <v>1406</v>
      </c>
      <c r="B537" t="s">
        <v>1407</v>
      </c>
      <c r="C537" t="s">
        <v>70</v>
      </c>
      <c r="D537" t="s">
        <v>95</v>
      </c>
      <c r="E537" s="2" t="s">
        <v>44</v>
      </c>
      <c r="F537">
        <v>19</v>
      </c>
      <c r="G537" t="s">
        <v>20</v>
      </c>
      <c r="H537" s="2" t="s">
        <v>44</v>
      </c>
      <c r="I537">
        <v>3</v>
      </c>
      <c r="J537" t="str">
        <f>IF(Table1[[#This Row],[Resolution_Date]]="NA","Unresolved","Resolved")</f>
        <v>Resolved</v>
      </c>
      <c r="K537">
        <f>IF(Table1[[#This Row],[Resolution_Date]]="NA"," ",Table1[[#This Row],[Resolution_Date]]-Table1[[#This Row],[Complaint_Date]])</f>
        <v>0</v>
      </c>
      <c r="L537" t="str">
        <f>TEXT(Table1[[#This Row],[Complaint_Date]],"MMM")</f>
        <v>Nov</v>
      </c>
      <c r="M537" t="str">
        <f>IF(Table1[[#This Row],[Resolution_Time_Hours]]&lt;=24,"Fast",IF(Table1[[#This Row],[Resolution_Time_Hours]]&lt;=72,"Medium","Slow"))</f>
        <v>Fast</v>
      </c>
    </row>
    <row r="538" spans="1:13" x14ac:dyDescent="0.3">
      <c r="A538" t="s">
        <v>1408</v>
      </c>
      <c r="B538" t="s">
        <v>1409</v>
      </c>
      <c r="C538" t="s">
        <v>34</v>
      </c>
      <c r="D538" t="s">
        <v>27</v>
      </c>
      <c r="E538" s="2" t="s">
        <v>1410</v>
      </c>
      <c r="F538">
        <v>79</v>
      </c>
      <c r="G538" t="s">
        <v>20</v>
      </c>
      <c r="H538" s="2" t="s">
        <v>89</v>
      </c>
      <c r="I538">
        <v>1</v>
      </c>
      <c r="J538" t="str">
        <f>IF(Table1[[#This Row],[Resolution_Date]]="NA","Unresolved","Resolved")</f>
        <v>Resolved</v>
      </c>
      <c r="K538">
        <f>IF(Table1[[#This Row],[Resolution_Date]]="NA"," ",Table1[[#This Row],[Resolution_Date]]-Table1[[#This Row],[Complaint_Date]])</f>
        <v>3</v>
      </c>
      <c r="L538" t="str">
        <f>TEXT(Table1[[#This Row],[Complaint_Date]],"MMM")</f>
        <v>Jun</v>
      </c>
      <c r="M538" t="str">
        <f>IF(Table1[[#This Row],[Resolution_Time_Hours]]&lt;=24,"Fast",IF(Table1[[#This Row],[Resolution_Time_Hours]]&lt;=72,"Medium","Slow"))</f>
        <v>Slow</v>
      </c>
    </row>
    <row r="539" spans="1:13" x14ac:dyDescent="0.3">
      <c r="A539" t="s">
        <v>1411</v>
      </c>
      <c r="B539" t="s">
        <v>1412</v>
      </c>
      <c r="C539" t="s">
        <v>53</v>
      </c>
      <c r="D539" t="s">
        <v>12</v>
      </c>
      <c r="E539" s="2" t="s">
        <v>1159</v>
      </c>
      <c r="F539">
        <v>9</v>
      </c>
      <c r="G539" t="s">
        <v>20</v>
      </c>
      <c r="H539" s="2" t="s">
        <v>1159</v>
      </c>
      <c r="I539">
        <v>5</v>
      </c>
      <c r="J539" t="str">
        <f>IF(Table1[[#This Row],[Resolution_Date]]="NA","Unresolved","Resolved")</f>
        <v>Resolved</v>
      </c>
      <c r="K539">
        <f>IF(Table1[[#This Row],[Resolution_Date]]="NA"," ",Table1[[#This Row],[Resolution_Date]]-Table1[[#This Row],[Complaint_Date]])</f>
        <v>0</v>
      </c>
      <c r="L539" t="str">
        <f>TEXT(Table1[[#This Row],[Complaint_Date]],"MMM")</f>
        <v>Nov</v>
      </c>
      <c r="M539" t="str">
        <f>IF(Table1[[#This Row],[Resolution_Time_Hours]]&lt;=24,"Fast",IF(Table1[[#This Row],[Resolution_Time_Hours]]&lt;=72,"Medium","Slow"))</f>
        <v>Fast</v>
      </c>
    </row>
    <row r="540" spans="1:13" x14ac:dyDescent="0.3">
      <c r="A540" t="s">
        <v>1413</v>
      </c>
      <c r="B540" t="s">
        <v>1414</v>
      </c>
      <c r="C540" t="s">
        <v>53</v>
      </c>
      <c r="D540" t="s">
        <v>95</v>
      </c>
      <c r="E540" s="2" t="s">
        <v>198</v>
      </c>
      <c r="F540">
        <v>6</v>
      </c>
      <c r="G540" t="s">
        <v>20</v>
      </c>
      <c r="H540" s="2" t="s">
        <v>198</v>
      </c>
      <c r="I540">
        <v>5</v>
      </c>
      <c r="J540" t="str">
        <f>IF(Table1[[#This Row],[Resolution_Date]]="NA","Unresolved","Resolved")</f>
        <v>Resolved</v>
      </c>
      <c r="K540">
        <f>IF(Table1[[#This Row],[Resolution_Date]]="NA"," ",Table1[[#This Row],[Resolution_Date]]-Table1[[#This Row],[Complaint_Date]])</f>
        <v>0</v>
      </c>
      <c r="L540" t="str">
        <f>TEXT(Table1[[#This Row],[Complaint_Date]],"MMM")</f>
        <v>Jul</v>
      </c>
      <c r="M540" t="str">
        <f>IF(Table1[[#This Row],[Resolution_Time_Hours]]&lt;=24,"Fast",IF(Table1[[#This Row],[Resolution_Time_Hours]]&lt;=72,"Medium","Slow"))</f>
        <v>Fast</v>
      </c>
    </row>
    <row r="541" spans="1:13" x14ac:dyDescent="0.3">
      <c r="A541" t="s">
        <v>1415</v>
      </c>
      <c r="B541" t="s">
        <v>1416</v>
      </c>
      <c r="C541" t="s">
        <v>17</v>
      </c>
      <c r="D541" t="s">
        <v>18</v>
      </c>
      <c r="E541" s="2" t="s">
        <v>264</v>
      </c>
      <c r="F541">
        <v>8</v>
      </c>
      <c r="G541" t="s">
        <v>20</v>
      </c>
      <c r="H541" s="2" t="s">
        <v>264</v>
      </c>
      <c r="I541">
        <v>4</v>
      </c>
      <c r="J541" t="str">
        <f>IF(Table1[[#This Row],[Resolution_Date]]="NA","Unresolved","Resolved")</f>
        <v>Resolved</v>
      </c>
      <c r="K541">
        <f>IF(Table1[[#This Row],[Resolution_Date]]="NA"," ",Table1[[#This Row],[Resolution_Date]]-Table1[[#This Row],[Complaint_Date]])</f>
        <v>0</v>
      </c>
      <c r="L541" t="str">
        <f>TEXT(Table1[[#This Row],[Complaint_Date]],"MMM")</f>
        <v>May</v>
      </c>
      <c r="M541" t="str">
        <f>IF(Table1[[#This Row],[Resolution_Time_Hours]]&lt;=24,"Fast",IF(Table1[[#This Row],[Resolution_Time_Hours]]&lt;=72,"Medium","Slow"))</f>
        <v>Fast</v>
      </c>
    </row>
    <row r="542" spans="1:13" x14ac:dyDescent="0.3">
      <c r="A542" t="s">
        <v>1417</v>
      </c>
      <c r="B542" t="s">
        <v>1418</v>
      </c>
      <c r="C542" t="s">
        <v>34</v>
      </c>
      <c r="D542" t="s">
        <v>38</v>
      </c>
      <c r="E542" s="2" t="s">
        <v>1419</v>
      </c>
      <c r="F542">
        <v>89</v>
      </c>
      <c r="G542" t="s">
        <v>14</v>
      </c>
      <c r="H542" s="2" t="s">
        <v>2820</v>
      </c>
      <c r="J542" t="str">
        <f>IF(Table1[[#This Row],[Resolution_Date]]="NA","Unresolved","Resolved")</f>
        <v>Unresolved</v>
      </c>
      <c r="K542" t="str">
        <f>IF(Table1[[#This Row],[Resolution_Date]]="NA"," ",Table1[[#This Row],[Resolution_Date]]-Table1[[#This Row],[Complaint_Date]])</f>
        <v xml:space="preserve"> </v>
      </c>
      <c r="L542" t="str">
        <f>TEXT(Table1[[#This Row],[Complaint_Date]],"MMM")</f>
        <v>Dec</v>
      </c>
      <c r="M542" t="str">
        <f>IF(Table1[[#This Row],[Resolution_Time_Hours]]&lt;=24,"Fast",IF(Table1[[#This Row],[Resolution_Time_Hours]]&lt;=72,"Medium","Slow"))</f>
        <v>Slow</v>
      </c>
    </row>
    <row r="543" spans="1:13" x14ac:dyDescent="0.3">
      <c r="A543" t="s">
        <v>1420</v>
      </c>
      <c r="B543" t="s">
        <v>1421</v>
      </c>
      <c r="C543" t="s">
        <v>43</v>
      </c>
      <c r="D543" t="s">
        <v>12</v>
      </c>
      <c r="E543" s="2" t="s">
        <v>273</v>
      </c>
      <c r="F543">
        <v>15</v>
      </c>
      <c r="G543" t="s">
        <v>40</v>
      </c>
      <c r="H543" s="2" t="s">
        <v>2820</v>
      </c>
      <c r="J543" t="str">
        <f>IF(Table1[[#This Row],[Resolution_Date]]="NA","Unresolved","Resolved")</f>
        <v>Unresolved</v>
      </c>
      <c r="K543" t="str">
        <f>IF(Table1[[#This Row],[Resolution_Date]]="NA"," ",Table1[[#This Row],[Resolution_Date]]-Table1[[#This Row],[Complaint_Date]])</f>
        <v xml:space="preserve"> </v>
      </c>
      <c r="L543" t="str">
        <f>TEXT(Table1[[#This Row],[Complaint_Date]],"MMM")</f>
        <v>Nov</v>
      </c>
      <c r="M543" t="str">
        <f>IF(Table1[[#This Row],[Resolution_Time_Hours]]&lt;=24,"Fast",IF(Table1[[#This Row],[Resolution_Time_Hours]]&lt;=72,"Medium","Slow"))</f>
        <v>Fast</v>
      </c>
    </row>
    <row r="544" spans="1:13" x14ac:dyDescent="0.3">
      <c r="A544" t="s">
        <v>1422</v>
      </c>
      <c r="B544" t="s">
        <v>1423</v>
      </c>
      <c r="C544" t="s">
        <v>34</v>
      </c>
      <c r="D544" t="s">
        <v>18</v>
      </c>
      <c r="E544" s="2" t="s">
        <v>386</v>
      </c>
      <c r="F544">
        <v>30</v>
      </c>
      <c r="G544" t="s">
        <v>14</v>
      </c>
      <c r="H544" s="2" t="s">
        <v>2820</v>
      </c>
      <c r="J544" t="str">
        <f>IF(Table1[[#This Row],[Resolution_Date]]="NA","Unresolved","Resolved")</f>
        <v>Unresolved</v>
      </c>
      <c r="K544" t="str">
        <f>IF(Table1[[#This Row],[Resolution_Date]]="NA"," ",Table1[[#This Row],[Resolution_Date]]-Table1[[#This Row],[Complaint_Date]])</f>
        <v xml:space="preserve"> </v>
      </c>
      <c r="L544" t="str">
        <f>TEXT(Table1[[#This Row],[Complaint_Date]],"MMM")</f>
        <v>Jul</v>
      </c>
      <c r="M544" t="str">
        <f>IF(Table1[[#This Row],[Resolution_Time_Hours]]&lt;=24,"Fast",IF(Table1[[#This Row],[Resolution_Time_Hours]]&lt;=72,"Medium","Slow"))</f>
        <v>Medium</v>
      </c>
    </row>
    <row r="545" spans="1:13" x14ac:dyDescent="0.3">
      <c r="A545" t="s">
        <v>1424</v>
      </c>
      <c r="B545" t="s">
        <v>1425</v>
      </c>
      <c r="C545" t="s">
        <v>17</v>
      </c>
      <c r="D545" t="s">
        <v>38</v>
      </c>
      <c r="E545" s="2" t="s">
        <v>785</v>
      </c>
      <c r="F545">
        <v>32</v>
      </c>
      <c r="G545" t="s">
        <v>40</v>
      </c>
      <c r="H545" s="2" t="s">
        <v>2820</v>
      </c>
      <c r="J545" t="str">
        <f>IF(Table1[[#This Row],[Resolution_Date]]="NA","Unresolved","Resolved")</f>
        <v>Unresolved</v>
      </c>
      <c r="K545" t="str">
        <f>IF(Table1[[#This Row],[Resolution_Date]]="NA"," ",Table1[[#This Row],[Resolution_Date]]-Table1[[#This Row],[Complaint_Date]])</f>
        <v xml:space="preserve"> </v>
      </c>
      <c r="L545" t="str">
        <f>TEXT(Table1[[#This Row],[Complaint_Date]],"MMM")</f>
        <v>Nov</v>
      </c>
      <c r="M545" t="str">
        <f>IF(Table1[[#This Row],[Resolution_Time_Hours]]&lt;=24,"Fast",IF(Table1[[#This Row],[Resolution_Time_Hours]]&lt;=72,"Medium","Slow"))</f>
        <v>Medium</v>
      </c>
    </row>
    <row r="546" spans="1:13" x14ac:dyDescent="0.3">
      <c r="A546" t="s">
        <v>1426</v>
      </c>
      <c r="B546" t="s">
        <v>1427</v>
      </c>
      <c r="C546" t="s">
        <v>11</v>
      </c>
      <c r="D546" t="s">
        <v>18</v>
      </c>
      <c r="E546" s="2" t="s">
        <v>1428</v>
      </c>
      <c r="F546">
        <v>43</v>
      </c>
      <c r="G546" t="s">
        <v>20</v>
      </c>
      <c r="H546" s="2" t="s">
        <v>1429</v>
      </c>
      <c r="I546">
        <v>5</v>
      </c>
      <c r="J546" t="str">
        <f>IF(Table1[[#This Row],[Resolution_Date]]="NA","Unresolved","Resolved")</f>
        <v>Resolved</v>
      </c>
      <c r="K546">
        <f>IF(Table1[[#This Row],[Resolution_Date]]="NA"," ",Table1[[#This Row],[Resolution_Date]]-Table1[[#This Row],[Complaint_Date]])</f>
        <v>1</v>
      </c>
      <c r="L546" t="str">
        <f>TEXT(Table1[[#This Row],[Complaint_Date]],"MMM")</f>
        <v>Jun</v>
      </c>
      <c r="M546" t="str">
        <f>IF(Table1[[#This Row],[Resolution_Time_Hours]]&lt;=24,"Fast",IF(Table1[[#This Row],[Resolution_Time_Hours]]&lt;=72,"Medium","Slow"))</f>
        <v>Medium</v>
      </c>
    </row>
    <row r="547" spans="1:13" x14ac:dyDescent="0.3">
      <c r="A547" t="s">
        <v>1430</v>
      </c>
      <c r="B547" t="s">
        <v>1431</v>
      </c>
      <c r="C547" t="s">
        <v>11</v>
      </c>
      <c r="D547" t="s">
        <v>38</v>
      </c>
      <c r="E547" s="2" t="s">
        <v>622</v>
      </c>
      <c r="F547">
        <v>40</v>
      </c>
      <c r="G547" t="s">
        <v>14</v>
      </c>
      <c r="H547" s="2" t="s">
        <v>2820</v>
      </c>
      <c r="J547" t="str">
        <f>IF(Table1[[#This Row],[Resolution_Date]]="NA","Unresolved","Resolved")</f>
        <v>Unresolved</v>
      </c>
      <c r="K547" t="str">
        <f>IF(Table1[[#This Row],[Resolution_Date]]="NA"," ",Table1[[#This Row],[Resolution_Date]]-Table1[[#This Row],[Complaint_Date]])</f>
        <v xml:space="preserve"> </v>
      </c>
      <c r="L547" t="str">
        <f>TEXT(Table1[[#This Row],[Complaint_Date]],"MMM")</f>
        <v>Mar</v>
      </c>
      <c r="M547" t="str">
        <f>IF(Table1[[#This Row],[Resolution_Time_Hours]]&lt;=24,"Fast",IF(Table1[[#This Row],[Resolution_Time_Hours]]&lt;=72,"Medium","Slow"))</f>
        <v>Medium</v>
      </c>
    </row>
    <row r="548" spans="1:13" x14ac:dyDescent="0.3">
      <c r="A548" t="s">
        <v>1432</v>
      </c>
      <c r="B548" t="s">
        <v>1433</v>
      </c>
      <c r="C548" t="s">
        <v>70</v>
      </c>
      <c r="D548" t="s">
        <v>12</v>
      </c>
      <c r="E548" s="2" t="s">
        <v>428</v>
      </c>
      <c r="F548">
        <v>7</v>
      </c>
      <c r="G548" t="s">
        <v>20</v>
      </c>
      <c r="H548" s="2" t="s">
        <v>428</v>
      </c>
      <c r="I548">
        <v>4</v>
      </c>
      <c r="J548" t="str">
        <f>IF(Table1[[#This Row],[Resolution_Date]]="NA","Unresolved","Resolved")</f>
        <v>Resolved</v>
      </c>
      <c r="K548">
        <f>IF(Table1[[#This Row],[Resolution_Date]]="NA"," ",Table1[[#This Row],[Resolution_Date]]-Table1[[#This Row],[Complaint_Date]])</f>
        <v>0</v>
      </c>
      <c r="L548" t="str">
        <f>TEXT(Table1[[#This Row],[Complaint_Date]],"MMM")</f>
        <v>Apr</v>
      </c>
      <c r="M548" t="str">
        <f>IF(Table1[[#This Row],[Resolution_Time_Hours]]&lt;=24,"Fast",IF(Table1[[#This Row],[Resolution_Time_Hours]]&lt;=72,"Medium","Slow"))</f>
        <v>Fast</v>
      </c>
    </row>
    <row r="549" spans="1:13" x14ac:dyDescent="0.3">
      <c r="A549" t="s">
        <v>1434</v>
      </c>
      <c r="B549" t="s">
        <v>1435</v>
      </c>
      <c r="C549" t="s">
        <v>43</v>
      </c>
      <c r="D549" t="s">
        <v>18</v>
      </c>
      <c r="E549" s="2" t="s">
        <v>614</v>
      </c>
      <c r="F549">
        <v>43</v>
      </c>
      <c r="G549" t="s">
        <v>14</v>
      </c>
      <c r="H549" s="2" t="s">
        <v>2820</v>
      </c>
      <c r="J549" t="str">
        <f>IF(Table1[[#This Row],[Resolution_Date]]="NA","Unresolved","Resolved")</f>
        <v>Unresolved</v>
      </c>
      <c r="K549" t="str">
        <f>IF(Table1[[#This Row],[Resolution_Date]]="NA"," ",Table1[[#This Row],[Resolution_Date]]-Table1[[#This Row],[Complaint_Date]])</f>
        <v xml:space="preserve"> </v>
      </c>
      <c r="L549" t="str">
        <f>TEXT(Table1[[#This Row],[Complaint_Date]],"MMM")</f>
        <v>Aug</v>
      </c>
      <c r="M549" t="str">
        <f>IF(Table1[[#This Row],[Resolution_Time_Hours]]&lt;=24,"Fast",IF(Table1[[#This Row],[Resolution_Time_Hours]]&lt;=72,"Medium","Slow"))</f>
        <v>Medium</v>
      </c>
    </row>
    <row r="550" spans="1:13" x14ac:dyDescent="0.3">
      <c r="A550" t="s">
        <v>1436</v>
      </c>
      <c r="B550" t="s">
        <v>1437</v>
      </c>
      <c r="C550" t="s">
        <v>53</v>
      </c>
      <c r="D550" t="s">
        <v>38</v>
      </c>
      <c r="E550" s="2" t="s">
        <v>179</v>
      </c>
      <c r="F550">
        <v>5</v>
      </c>
      <c r="G550" t="s">
        <v>20</v>
      </c>
      <c r="H550" s="2" t="s">
        <v>179</v>
      </c>
      <c r="I550">
        <v>5</v>
      </c>
      <c r="J550" t="str">
        <f>IF(Table1[[#This Row],[Resolution_Date]]="NA","Unresolved","Resolved")</f>
        <v>Resolved</v>
      </c>
      <c r="K550">
        <f>IF(Table1[[#This Row],[Resolution_Date]]="NA"," ",Table1[[#This Row],[Resolution_Date]]-Table1[[#This Row],[Complaint_Date]])</f>
        <v>0</v>
      </c>
      <c r="L550" t="str">
        <f>TEXT(Table1[[#This Row],[Complaint_Date]],"MMM")</f>
        <v>Apr</v>
      </c>
      <c r="M550" t="str">
        <f>IF(Table1[[#This Row],[Resolution_Time_Hours]]&lt;=24,"Fast",IF(Table1[[#This Row],[Resolution_Time_Hours]]&lt;=72,"Medium","Slow"))</f>
        <v>Fast</v>
      </c>
    </row>
    <row r="551" spans="1:13" x14ac:dyDescent="0.3">
      <c r="A551" t="s">
        <v>1438</v>
      </c>
      <c r="B551" t="s">
        <v>1439</v>
      </c>
      <c r="C551" t="s">
        <v>43</v>
      </c>
      <c r="D551" t="s">
        <v>27</v>
      </c>
      <c r="E551" s="2" t="s">
        <v>440</v>
      </c>
      <c r="F551">
        <v>22</v>
      </c>
      <c r="G551" t="s">
        <v>20</v>
      </c>
      <c r="H551" s="2" t="s">
        <v>440</v>
      </c>
      <c r="I551">
        <v>3</v>
      </c>
      <c r="J551" t="str">
        <f>IF(Table1[[#This Row],[Resolution_Date]]="NA","Unresolved","Resolved")</f>
        <v>Resolved</v>
      </c>
      <c r="K551">
        <f>IF(Table1[[#This Row],[Resolution_Date]]="NA"," ",Table1[[#This Row],[Resolution_Date]]-Table1[[#This Row],[Complaint_Date]])</f>
        <v>0</v>
      </c>
      <c r="L551" t="str">
        <f>TEXT(Table1[[#This Row],[Complaint_Date]],"MMM")</f>
        <v>Sep</v>
      </c>
      <c r="M551" t="str">
        <f>IF(Table1[[#This Row],[Resolution_Time_Hours]]&lt;=24,"Fast",IF(Table1[[#This Row],[Resolution_Time_Hours]]&lt;=72,"Medium","Slow"))</f>
        <v>Fast</v>
      </c>
    </row>
    <row r="552" spans="1:13" x14ac:dyDescent="0.3">
      <c r="A552" t="s">
        <v>1440</v>
      </c>
      <c r="B552" t="s">
        <v>1441</v>
      </c>
      <c r="C552" t="s">
        <v>34</v>
      </c>
      <c r="D552" t="s">
        <v>12</v>
      </c>
      <c r="E552" s="2" t="s">
        <v>1442</v>
      </c>
      <c r="F552">
        <v>33</v>
      </c>
      <c r="G552" t="s">
        <v>20</v>
      </c>
      <c r="H552" s="2" t="s">
        <v>1159</v>
      </c>
      <c r="I552">
        <v>2</v>
      </c>
      <c r="J552" t="str">
        <f>IF(Table1[[#This Row],[Resolution_Date]]="NA","Unresolved","Resolved")</f>
        <v>Resolved</v>
      </c>
      <c r="K552">
        <f>IF(Table1[[#This Row],[Resolution_Date]]="NA"," ",Table1[[#This Row],[Resolution_Date]]-Table1[[#This Row],[Complaint_Date]])</f>
        <v>1</v>
      </c>
      <c r="L552" t="str">
        <f>TEXT(Table1[[#This Row],[Complaint_Date]],"MMM")</f>
        <v>Nov</v>
      </c>
      <c r="M552" t="str">
        <f>IF(Table1[[#This Row],[Resolution_Time_Hours]]&lt;=24,"Fast",IF(Table1[[#This Row],[Resolution_Time_Hours]]&lt;=72,"Medium","Slow"))</f>
        <v>Medium</v>
      </c>
    </row>
    <row r="553" spans="1:13" x14ac:dyDescent="0.3">
      <c r="A553" t="s">
        <v>1443</v>
      </c>
      <c r="B553" t="s">
        <v>1444</v>
      </c>
      <c r="C553" t="s">
        <v>48</v>
      </c>
      <c r="D553" t="s">
        <v>18</v>
      </c>
      <c r="E553" s="2" t="s">
        <v>785</v>
      </c>
      <c r="F553">
        <v>48</v>
      </c>
      <c r="G553" t="s">
        <v>20</v>
      </c>
      <c r="H553" s="2" t="s">
        <v>363</v>
      </c>
      <c r="I553">
        <v>2</v>
      </c>
      <c r="J553" t="str">
        <f>IF(Table1[[#This Row],[Resolution_Date]]="NA","Unresolved","Resolved")</f>
        <v>Resolved</v>
      </c>
      <c r="K553">
        <f>IF(Table1[[#This Row],[Resolution_Date]]="NA"," ",Table1[[#This Row],[Resolution_Date]]-Table1[[#This Row],[Complaint_Date]])</f>
        <v>2</v>
      </c>
      <c r="L553" t="str">
        <f>TEXT(Table1[[#This Row],[Complaint_Date]],"MMM")</f>
        <v>Nov</v>
      </c>
      <c r="M553" t="str">
        <f>IF(Table1[[#This Row],[Resolution_Time_Hours]]&lt;=24,"Fast",IF(Table1[[#This Row],[Resolution_Time_Hours]]&lt;=72,"Medium","Slow"))</f>
        <v>Medium</v>
      </c>
    </row>
    <row r="554" spans="1:13" x14ac:dyDescent="0.3">
      <c r="A554" t="s">
        <v>1445</v>
      </c>
      <c r="B554" t="s">
        <v>1446</v>
      </c>
      <c r="C554" t="s">
        <v>70</v>
      </c>
      <c r="D554" t="s">
        <v>27</v>
      </c>
      <c r="E554" s="2" t="s">
        <v>501</v>
      </c>
      <c r="F554">
        <v>14</v>
      </c>
      <c r="G554" t="s">
        <v>40</v>
      </c>
      <c r="H554" s="2" t="s">
        <v>2820</v>
      </c>
      <c r="J554" t="str">
        <f>IF(Table1[[#This Row],[Resolution_Date]]="NA","Unresolved","Resolved")</f>
        <v>Unresolved</v>
      </c>
      <c r="K554" t="str">
        <f>IF(Table1[[#This Row],[Resolution_Date]]="NA"," ",Table1[[#This Row],[Resolution_Date]]-Table1[[#This Row],[Complaint_Date]])</f>
        <v xml:space="preserve"> </v>
      </c>
      <c r="L554" t="str">
        <f>TEXT(Table1[[#This Row],[Complaint_Date]],"MMM")</f>
        <v>Jun</v>
      </c>
      <c r="M554" t="str">
        <f>IF(Table1[[#This Row],[Resolution_Time_Hours]]&lt;=24,"Fast",IF(Table1[[#This Row],[Resolution_Time_Hours]]&lt;=72,"Medium","Slow"))</f>
        <v>Fast</v>
      </c>
    </row>
    <row r="555" spans="1:13" x14ac:dyDescent="0.3">
      <c r="A555" t="s">
        <v>1447</v>
      </c>
      <c r="B555" t="s">
        <v>1448</v>
      </c>
      <c r="C555" t="s">
        <v>48</v>
      </c>
      <c r="D555" t="s">
        <v>95</v>
      </c>
      <c r="E555" s="2" t="s">
        <v>106</v>
      </c>
      <c r="F555">
        <v>72</v>
      </c>
      <c r="G555" t="s">
        <v>40</v>
      </c>
      <c r="H555" s="2" t="s">
        <v>2820</v>
      </c>
      <c r="J555" t="str">
        <f>IF(Table1[[#This Row],[Resolution_Date]]="NA","Unresolved","Resolved")</f>
        <v>Unresolved</v>
      </c>
      <c r="K555" t="str">
        <f>IF(Table1[[#This Row],[Resolution_Date]]="NA"," ",Table1[[#This Row],[Resolution_Date]]-Table1[[#This Row],[Complaint_Date]])</f>
        <v xml:space="preserve"> </v>
      </c>
      <c r="L555" t="str">
        <f>TEXT(Table1[[#This Row],[Complaint_Date]],"MMM")</f>
        <v>Sep</v>
      </c>
      <c r="M555" t="str">
        <f>IF(Table1[[#This Row],[Resolution_Time_Hours]]&lt;=24,"Fast",IF(Table1[[#This Row],[Resolution_Time_Hours]]&lt;=72,"Medium","Slow"))</f>
        <v>Medium</v>
      </c>
    </row>
    <row r="556" spans="1:13" x14ac:dyDescent="0.3">
      <c r="A556" t="s">
        <v>1449</v>
      </c>
      <c r="B556" t="s">
        <v>1450</v>
      </c>
      <c r="C556" t="s">
        <v>11</v>
      </c>
      <c r="D556" t="s">
        <v>18</v>
      </c>
      <c r="E556" s="2" t="s">
        <v>889</v>
      </c>
      <c r="F556">
        <v>5</v>
      </c>
      <c r="G556" t="s">
        <v>20</v>
      </c>
      <c r="H556" s="2" t="s">
        <v>889</v>
      </c>
      <c r="I556">
        <v>5</v>
      </c>
      <c r="J556" t="str">
        <f>IF(Table1[[#This Row],[Resolution_Date]]="NA","Unresolved","Resolved")</f>
        <v>Resolved</v>
      </c>
      <c r="K556">
        <f>IF(Table1[[#This Row],[Resolution_Date]]="NA"," ",Table1[[#This Row],[Resolution_Date]]-Table1[[#This Row],[Complaint_Date]])</f>
        <v>0</v>
      </c>
      <c r="L556" t="str">
        <f>TEXT(Table1[[#This Row],[Complaint_Date]],"MMM")</f>
        <v>Dec</v>
      </c>
      <c r="M556" t="str">
        <f>IF(Table1[[#This Row],[Resolution_Time_Hours]]&lt;=24,"Fast",IF(Table1[[#This Row],[Resolution_Time_Hours]]&lt;=72,"Medium","Slow"))</f>
        <v>Fast</v>
      </c>
    </row>
    <row r="557" spans="1:13" x14ac:dyDescent="0.3">
      <c r="A557" t="s">
        <v>1451</v>
      </c>
      <c r="B557" t="s">
        <v>1452</v>
      </c>
      <c r="C557" t="s">
        <v>43</v>
      </c>
      <c r="D557" t="s">
        <v>27</v>
      </c>
      <c r="E557" s="2" t="s">
        <v>590</v>
      </c>
      <c r="F557">
        <v>30</v>
      </c>
      <c r="G557" t="s">
        <v>14</v>
      </c>
      <c r="H557" s="2" t="s">
        <v>2820</v>
      </c>
      <c r="J557" t="str">
        <f>IF(Table1[[#This Row],[Resolution_Date]]="NA","Unresolved","Resolved")</f>
        <v>Unresolved</v>
      </c>
      <c r="K557" t="str">
        <f>IF(Table1[[#This Row],[Resolution_Date]]="NA"," ",Table1[[#This Row],[Resolution_Date]]-Table1[[#This Row],[Complaint_Date]])</f>
        <v xml:space="preserve"> </v>
      </c>
      <c r="L557" t="str">
        <f>TEXT(Table1[[#This Row],[Complaint_Date]],"MMM")</f>
        <v>Aug</v>
      </c>
      <c r="M557" t="str">
        <f>IF(Table1[[#This Row],[Resolution_Time_Hours]]&lt;=24,"Fast",IF(Table1[[#This Row],[Resolution_Time_Hours]]&lt;=72,"Medium","Slow"))</f>
        <v>Medium</v>
      </c>
    </row>
    <row r="558" spans="1:13" x14ac:dyDescent="0.3">
      <c r="A558" t="s">
        <v>1453</v>
      </c>
      <c r="B558" t="s">
        <v>1454</v>
      </c>
      <c r="C558" t="s">
        <v>43</v>
      </c>
      <c r="D558" t="s">
        <v>12</v>
      </c>
      <c r="E558" s="2" t="s">
        <v>284</v>
      </c>
      <c r="F558">
        <v>71</v>
      </c>
      <c r="G558" t="s">
        <v>20</v>
      </c>
      <c r="H558" s="2" t="s">
        <v>45</v>
      </c>
      <c r="I558">
        <v>1</v>
      </c>
      <c r="J558" t="str">
        <f>IF(Table1[[#This Row],[Resolution_Date]]="NA","Unresolved","Resolved")</f>
        <v>Resolved</v>
      </c>
      <c r="K558">
        <f>IF(Table1[[#This Row],[Resolution_Date]]="NA"," ",Table1[[#This Row],[Resolution_Date]]-Table1[[#This Row],[Complaint_Date]])</f>
        <v>2</v>
      </c>
      <c r="L558" t="str">
        <f>TEXT(Table1[[#This Row],[Complaint_Date]],"MMM")</f>
        <v>Nov</v>
      </c>
      <c r="M558" t="str">
        <f>IF(Table1[[#This Row],[Resolution_Time_Hours]]&lt;=24,"Fast",IF(Table1[[#This Row],[Resolution_Time_Hours]]&lt;=72,"Medium","Slow"))</f>
        <v>Medium</v>
      </c>
    </row>
    <row r="559" spans="1:13" x14ac:dyDescent="0.3">
      <c r="A559" t="s">
        <v>1455</v>
      </c>
      <c r="B559" t="s">
        <v>1456</v>
      </c>
      <c r="C559" t="s">
        <v>11</v>
      </c>
      <c r="D559" t="s">
        <v>27</v>
      </c>
      <c r="E559" s="2" t="s">
        <v>1457</v>
      </c>
      <c r="F559">
        <v>27</v>
      </c>
      <c r="G559" t="s">
        <v>20</v>
      </c>
      <c r="H559" s="2" t="s">
        <v>695</v>
      </c>
      <c r="I559">
        <v>2</v>
      </c>
      <c r="J559" t="str">
        <f>IF(Table1[[#This Row],[Resolution_Date]]="NA","Unresolved","Resolved")</f>
        <v>Resolved</v>
      </c>
      <c r="K559">
        <f>IF(Table1[[#This Row],[Resolution_Date]]="NA"," ",Table1[[#This Row],[Resolution_Date]]-Table1[[#This Row],[Complaint_Date]])</f>
        <v>1</v>
      </c>
      <c r="L559" t="str">
        <f>TEXT(Table1[[#This Row],[Complaint_Date]],"MMM")</f>
        <v>Feb</v>
      </c>
      <c r="M559" t="str">
        <f>IF(Table1[[#This Row],[Resolution_Time_Hours]]&lt;=24,"Fast",IF(Table1[[#This Row],[Resolution_Time_Hours]]&lt;=72,"Medium","Slow"))</f>
        <v>Medium</v>
      </c>
    </row>
    <row r="560" spans="1:13" x14ac:dyDescent="0.3">
      <c r="A560" t="s">
        <v>1458</v>
      </c>
      <c r="B560" t="s">
        <v>1459</v>
      </c>
      <c r="C560" t="s">
        <v>53</v>
      </c>
      <c r="D560" t="s">
        <v>38</v>
      </c>
      <c r="E560" s="2" t="s">
        <v>100</v>
      </c>
      <c r="F560">
        <v>8</v>
      </c>
      <c r="G560" t="s">
        <v>14</v>
      </c>
      <c r="H560" s="2" t="s">
        <v>2820</v>
      </c>
      <c r="J560" t="str">
        <f>IF(Table1[[#This Row],[Resolution_Date]]="NA","Unresolved","Resolved")</f>
        <v>Unresolved</v>
      </c>
      <c r="K560" t="str">
        <f>IF(Table1[[#This Row],[Resolution_Date]]="NA"," ",Table1[[#This Row],[Resolution_Date]]-Table1[[#This Row],[Complaint_Date]])</f>
        <v xml:space="preserve"> </v>
      </c>
      <c r="L560" t="str">
        <f>TEXT(Table1[[#This Row],[Complaint_Date]],"MMM")</f>
        <v>Jan</v>
      </c>
      <c r="M560" t="str">
        <f>IF(Table1[[#This Row],[Resolution_Time_Hours]]&lt;=24,"Fast",IF(Table1[[#This Row],[Resolution_Time_Hours]]&lt;=72,"Medium","Slow"))</f>
        <v>Fast</v>
      </c>
    </row>
    <row r="561" spans="1:13" x14ac:dyDescent="0.3">
      <c r="A561" t="s">
        <v>1460</v>
      </c>
      <c r="B561" t="s">
        <v>1461</v>
      </c>
      <c r="C561" t="s">
        <v>48</v>
      </c>
      <c r="D561" t="s">
        <v>18</v>
      </c>
      <c r="E561" s="2" t="s">
        <v>1321</v>
      </c>
      <c r="F561">
        <v>44</v>
      </c>
      <c r="G561" t="s">
        <v>20</v>
      </c>
      <c r="H561" s="2" t="s">
        <v>770</v>
      </c>
      <c r="I561">
        <v>2</v>
      </c>
      <c r="J561" t="str">
        <f>IF(Table1[[#This Row],[Resolution_Date]]="NA","Unresolved","Resolved")</f>
        <v>Resolved</v>
      </c>
      <c r="K561">
        <f>IF(Table1[[#This Row],[Resolution_Date]]="NA"," ",Table1[[#This Row],[Resolution_Date]]-Table1[[#This Row],[Complaint_Date]])</f>
        <v>1</v>
      </c>
      <c r="L561" t="str">
        <f>TEXT(Table1[[#This Row],[Complaint_Date]],"MMM")</f>
        <v>Jan</v>
      </c>
      <c r="M561" t="str">
        <f>IF(Table1[[#This Row],[Resolution_Time_Hours]]&lt;=24,"Fast",IF(Table1[[#This Row],[Resolution_Time_Hours]]&lt;=72,"Medium","Slow"))</f>
        <v>Medium</v>
      </c>
    </row>
    <row r="562" spans="1:13" x14ac:dyDescent="0.3">
      <c r="A562" t="s">
        <v>1462</v>
      </c>
      <c r="B562" t="s">
        <v>1463</v>
      </c>
      <c r="C562" t="s">
        <v>11</v>
      </c>
      <c r="D562" t="s">
        <v>27</v>
      </c>
      <c r="E562" s="2" t="s">
        <v>1464</v>
      </c>
      <c r="F562">
        <v>32</v>
      </c>
      <c r="G562" t="s">
        <v>14</v>
      </c>
      <c r="H562" s="2" t="s">
        <v>2820</v>
      </c>
      <c r="J562" t="str">
        <f>IF(Table1[[#This Row],[Resolution_Date]]="NA","Unresolved","Resolved")</f>
        <v>Unresolved</v>
      </c>
      <c r="K562" t="str">
        <f>IF(Table1[[#This Row],[Resolution_Date]]="NA"," ",Table1[[#This Row],[Resolution_Date]]-Table1[[#This Row],[Complaint_Date]])</f>
        <v xml:space="preserve"> </v>
      </c>
      <c r="L562" t="str">
        <f>TEXT(Table1[[#This Row],[Complaint_Date]],"MMM")</f>
        <v>Jul</v>
      </c>
      <c r="M562" t="str">
        <f>IF(Table1[[#This Row],[Resolution_Time_Hours]]&lt;=24,"Fast",IF(Table1[[#This Row],[Resolution_Time_Hours]]&lt;=72,"Medium","Slow"))</f>
        <v>Medium</v>
      </c>
    </row>
    <row r="563" spans="1:13" x14ac:dyDescent="0.3">
      <c r="A563" t="s">
        <v>1465</v>
      </c>
      <c r="B563" t="s">
        <v>1466</v>
      </c>
      <c r="C563" t="s">
        <v>48</v>
      </c>
      <c r="D563" t="s">
        <v>38</v>
      </c>
      <c r="E563" s="2" t="s">
        <v>988</v>
      </c>
      <c r="F563">
        <v>12</v>
      </c>
      <c r="G563" t="s">
        <v>20</v>
      </c>
      <c r="H563" s="2" t="s">
        <v>988</v>
      </c>
      <c r="I563">
        <v>4</v>
      </c>
      <c r="J563" t="str">
        <f>IF(Table1[[#This Row],[Resolution_Date]]="NA","Unresolved","Resolved")</f>
        <v>Resolved</v>
      </c>
      <c r="K563">
        <f>IF(Table1[[#This Row],[Resolution_Date]]="NA"," ",Table1[[#This Row],[Resolution_Date]]-Table1[[#This Row],[Complaint_Date]])</f>
        <v>0</v>
      </c>
      <c r="L563" t="str">
        <f>TEXT(Table1[[#This Row],[Complaint_Date]],"MMM")</f>
        <v>Sep</v>
      </c>
      <c r="M563" t="str">
        <f>IF(Table1[[#This Row],[Resolution_Time_Hours]]&lt;=24,"Fast",IF(Table1[[#This Row],[Resolution_Time_Hours]]&lt;=72,"Medium","Slow"))</f>
        <v>Fast</v>
      </c>
    </row>
    <row r="564" spans="1:13" x14ac:dyDescent="0.3">
      <c r="A564" t="s">
        <v>1467</v>
      </c>
      <c r="B564" t="s">
        <v>1468</v>
      </c>
      <c r="C564" t="s">
        <v>17</v>
      </c>
      <c r="D564" t="s">
        <v>27</v>
      </c>
      <c r="E564" s="2" t="s">
        <v>13</v>
      </c>
      <c r="F564">
        <v>6</v>
      </c>
      <c r="G564" t="s">
        <v>14</v>
      </c>
      <c r="H564" s="2" t="s">
        <v>2820</v>
      </c>
      <c r="J564" t="str">
        <f>IF(Table1[[#This Row],[Resolution_Date]]="NA","Unresolved","Resolved")</f>
        <v>Unresolved</v>
      </c>
      <c r="K564" t="str">
        <f>IF(Table1[[#This Row],[Resolution_Date]]="NA"," ",Table1[[#This Row],[Resolution_Date]]-Table1[[#This Row],[Complaint_Date]])</f>
        <v xml:space="preserve"> </v>
      </c>
      <c r="L564" t="str">
        <f>TEXT(Table1[[#This Row],[Complaint_Date]],"MMM")</f>
        <v>Oct</v>
      </c>
      <c r="M564" t="str">
        <f>IF(Table1[[#This Row],[Resolution_Time_Hours]]&lt;=24,"Fast",IF(Table1[[#This Row],[Resolution_Time_Hours]]&lt;=72,"Medium","Slow"))</f>
        <v>Fast</v>
      </c>
    </row>
    <row r="565" spans="1:13" x14ac:dyDescent="0.3">
      <c r="A565" t="s">
        <v>1469</v>
      </c>
      <c r="B565" t="s">
        <v>1470</v>
      </c>
      <c r="C565" t="s">
        <v>70</v>
      </c>
      <c r="D565" t="s">
        <v>38</v>
      </c>
      <c r="E565" s="2" t="s">
        <v>201</v>
      </c>
      <c r="F565">
        <v>16</v>
      </c>
      <c r="G565" t="s">
        <v>20</v>
      </c>
      <c r="H565" s="2" t="s">
        <v>201</v>
      </c>
      <c r="I565">
        <v>5</v>
      </c>
      <c r="J565" t="str">
        <f>IF(Table1[[#This Row],[Resolution_Date]]="NA","Unresolved","Resolved")</f>
        <v>Resolved</v>
      </c>
      <c r="K565">
        <f>IF(Table1[[#This Row],[Resolution_Date]]="NA"," ",Table1[[#This Row],[Resolution_Date]]-Table1[[#This Row],[Complaint_Date]])</f>
        <v>0</v>
      </c>
      <c r="L565" t="str">
        <f>TEXT(Table1[[#This Row],[Complaint_Date]],"MMM")</f>
        <v>Aug</v>
      </c>
      <c r="M565" t="str">
        <f>IF(Table1[[#This Row],[Resolution_Time_Hours]]&lt;=24,"Fast",IF(Table1[[#This Row],[Resolution_Time_Hours]]&lt;=72,"Medium","Slow"))</f>
        <v>Fast</v>
      </c>
    </row>
    <row r="566" spans="1:13" x14ac:dyDescent="0.3">
      <c r="A566" t="s">
        <v>1471</v>
      </c>
      <c r="B566" t="s">
        <v>1472</v>
      </c>
      <c r="C566" t="s">
        <v>53</v>
      </c>
      <c r="D566" t="s">
        <v>12</v>
      </c>
      <c r="E566" s="2" t="s">
        <v>782</v>
      </c>
      <c r="F566">
        <v>4</v>
      </c>
      <c r="G566" t="s">
        <v>40</v>
      </c>
      <c r="H566" s="2" t="s">
        <v>2820</v>
      </c>
      <c r="J566" t="str">
        <f>IF(Table1[[#This Row],[Resolution_Date]]="NA","Unresolved","Resolved")</f>
        <v>Unresolved</v>
      </c>
      <c r="K566" t="str">
        <f>IF(Table1[[#This Row],[Resolution_Date]]="NA"," ",Table1[[#This Row],[Resolution_Date]]-Table1[[#This Row],[Complaint_Date]])</f>
        <v xml:space="preserve"> </v>
      </c>
      <c r="L566" t="str">
        <f>TEXT(Table1[[#This Row],[Complaint_Date]],"MMM")</f>
        <v>May</v>
      </c>
      <c r="M566" t="str">
        <f>IF(Table1[[#This Row],[Resolution_Time_Hours]]&lt;=24,"Fast",IF(Table1[[#This Row],[Resolution_Time_Hours]]&lt;=72,"Medium","Slow"))</f>
        <v>Fast</v>
      </c>
    </row>
    <row r="567" spans="1:13" x14ac:dyDescent="0.3">
      <c r="A567" t="s">
        <v>1473</v>
      </c>
      <c r="B567" t="s">
        <v>1474</v>
      </c>
      <c r="C567" t="s">
        <v>34</v>
      </c>
      <c r="D567" t="s">
        <v>95</v>
      </c>
      <c r="E567" s="2" t="s">
        <v>284</v>
      </c>
      <c r="F567">
        <v>77</v>
      </c>
      <c r="G567" t="s">
        <v>14</v>
      </c>
      <c r="H567" s="2" t="s">
        <v>2820</v>
      </c>
      <c r="J567" t="str">
        <f>IF(Table1[[#This Row],[Resolution_Date]]="NA","Unresolved","Resolved")</f>
        <v>Unresolved</v>
      </c>
      <c r="K567" t="str">
        <f>IF(Table1[[#This Row],[Resolution_Date]]="NA"," ",Table1[[#This Row],[Resolution_Date]]-Table1[[#This Row],[Complaint_Date]])</f>
        <v xml:space="preserve"> </v>
      </c>
      <c r="L567" t="str">
        <f>TEXT(Table1[[#This Row],[Complaint_Date]],"MMM")</f>
        <v>Nov</v>
      </c>
      <c r="M567" t="str">
        <f>IF(Table1[[#This Row],[Resolution_Time_Hours]]&lt;=24,"Fast",IF(Table1[[#This Row],[Resolution_Time_Hours]]&lt;=72,"Medium","Slow"))</f>
        <v>Slow</v>
      </c>
    </row>
    <row r="568" spans="1:13" x14ac:dyDescent="0.3">
      <c r="A568" t="s">
        <v>1475</v>
      </c>
      <c r="B568" t="s">
        <v>1476</v>
      </c>
      <c r="C568" t="s">
        <v>110</v>
      </c>
      <c r="D568" t="s">
        <v>27</v>
      </c>
      <c r="E568" s="2" t="s">
        <v>538</v>
      </c>
      <c r="F568">
        <v>8</v>
      </c>
      <c r="G568" t="s">
        <v>20</v>
      </c>
      <c r="H568" s="2" t="s">
        <v>538</v>
      </c>
      <c r="I568">
        <v>5</v>
      </c>
      <c r="J568" t="str">
        <f>IF(Table1[[#This Row],[Resolution_Date]]="NA","Unresolved","Resolved")</f>
        <v>Resolved</v>
      </c>
      <c r="K568">
        <f>IF(Table1[[#This Row],[Resolution_Date]]="NA"," ",Table1[[#This Row],[Resolution_Date]]-Table1[[#This Row],[Complaint_Date]])</f>
        <v>0</v>
      </c>
      <c r="L568" t="str">
        <f>TEXT(Table1[[#This Row],[Complaint_Date]],"MMM")</f>
        <v>Sep</v>
      </c>
      <c r="M568" t="str">
        <f>IF(Table1[[#This Row],[Resolution_Time_Hours]]&lt;=24,"Fast",IF(Table1[[#This Row],[Resolution_Time_Hours]]&lt;=72,"Medium","Slow"))</f>
        <v>Fast</v>
      </c>
    </row>
    <row r="569" spans="1:13" x14ac:dyDescent="0.3">
      <c r="A569" t="s">
        <v>1477</v>
      </c>
      <c r="B569" t="s">
        <v>1478</v>
      </c>
      <c r="C569" t="s">
        <v>43</v>
      </c>
      <c r="D569" t="s">
        <v>27</v>
      </c>
      <c r="E569" s="2" t="s">
        <v>1479</v>
      </c>
      <c r="F569">
        <v>66</v>
      </c>
      <c r="G569" t="s">
        <v>20</v>
      </c>
      <c r="H569" s="2" t="s">
        <v>850</v>
      </c>
      <c r="I569">
        <v>5</v>
      </c>
      <c r="J569" t="str">
        <f>IF(Table1[[#This Row],[Resolution_Date]]="NA","Unresolved","Resolved")</f>
        <v>Resolved</v>
      </c>
      <c r="K569">
        <f>IF(Table1[[#This Row],[Resolution_Date]]="NA"," ",Table1[[#This Row],[Resolution_Date]]-Table1[[#This Row],[Complaint_Date]])</f>
        <v>2</v>
      </c>
      <c r="L569" t="str">
        <f>TEXT(Table1[[#This Row],[Complaint_Date]],"MMM")</f>
        <v>Jun</v>
      </c>
      <c r="M569" t="str">
        <f>IF(Table1[[#This Row],[Resolution_Time_Hours]]&lt;=24,"Fast",IF(Table1[[#This Row],[Resolution_Time_Hours]]&lt;=72,"Medium","Slow"))</f>
        <v>Medium</v>
      </c>
    </row>
    <row r="570" spans="1:13" x14ac:dyDescent="0.3">
      <c r="A570" t="s">
        <v>1480</v>
      </c>
      <c r="B570" t="s">
        <v>1481</v>
      </c>
      <c r="C570" t="s">
        <v>34</v>
      </c>
      <c r="D570" t="s">
        <v>27</v>
      </c>
      <c r="E570" s="2" t="s">
        <v>261</v>
      </c>
      <c r="F570">
        <v>74</v>
      </c>
      <c r="G570" t="s">
        <v>20</v>
      </c>
      <c r="H570" s="2" t="s">
        <v>299</v>
      </c>
      <c r="I570">
        <v>1</v>
      </c>
      <c r="J570" t="str">
        <f>IF(Table1[[#This Row],[Resolution_Date]]="NA","Unresolved","Resolved")</f>
        <v>Resolved</v>
      </c>
      <c r="K570">
        <f>IF(Table1[[#This Row],[Resolution_Date]]="NA"," ",Table1[[#This Row],[Resolution_Date]]-Table1[[#This Row],[Complaint_Date]])</f>
        <v>3</v>
      </c>
      <c r="L570" t="str">
        <f>TEXT(Table1[[#This Row],[Complaint_Date]],"MMM")</f>
        <v>Mar</v>
      </c>
      <c r="M570" t="str">
        <f>IF(Table1[[#This Row],[Resolution_Time_Hours]]&lt;=24,"Fast",IF(Table1[[#This Row],[Resolution_Time_Hours]]&lt;=72,"Medium","Slow"))</f>
        <v>Slow</v>
      </c>
    </row>
    <row r="571" spans="1:13" x14ac:dyDescent="0.3">
      <c r="A571" t="s">
        <v>1482</v>
      </c>
      <c r="B571" t="s">
        <v>1483</v>
      </c>
      <c r="C571" t="s">
        <v>43</v>
      </c>
      <c r="D571" t="s">
        <v>12</v>
      </c>
      <c r="E571" s="2" t="s">
        <v>875</v>
      </c>
      <c r="F571">
        <v>61</v>
      </c>
      <c r="G571" t="s">
        <v>14</v>
      </c>
      <c r="H571" s="2" t="s">
        <v>2820</v>
      </c>
      <c r="J571" t="str">
        <f>IF(Table1[[#This Row],[Resolution_Date]]="NA","Unresolved","Resolved")</f>
        <v>Unresolved</v>
      </c>
      <c r="K571" t="str">
        <f>IF(Table1[[#This Row],[Resolution_Date]]="NA"," ",Table1[[#This Row],[Resolution_Date]]-Table1[[#This Row],[Complaint_Date]])</f>
        <v xml:space="preserve"> </v>
      </c>
      <c r="L571" t="str">
        <f>TEXT(Table1[[#This Row],[Complaint_Date]],"MMM")</f>
        <v>Mar</v>
      </c>
      <c r="M571" t="str">
        <f>IF(Table1[[#This Row],[Resolution_Time_Hours]]&lt;=24,"Fast",IF(Table1[[#This Row],[Resolution_Time_Hours]]&lt;=72,"Medium","Slow"))</f>
        <v>Medium</v>
      </c>
    </row>
    <row r="572" spans="1:13" x14ac:dyDescent="0.3">
      <c r="A572" t="s">
        <v>1484</v>
      </c>
      <c r="B572" t="s">
        <v>1485</v>
      </c>
      <c r="C572" t="s">
        <v>17</v>
      </c>
      <c r="D572" t="s">
        <v>95</v>
      </c>
      <c r="E572" s="2" t="s">
        <v>1486</v>
      </c>
      <c r="F572">
        <v>34</v>
      </c>
      <c r="G572" t="s">
        <v>40</v>
      </c>
      <c r="H572" s="2" t="s">
        <v>2820</v>
      </c>
      <c r="J572" t="str">
        <f>IF(Table1[[#This Row],[Resolution_Date]]="NA","Unresolved","Resolved")</f>
        <v>Unresolved</v>
      </c>
      <c r="K572" t="str">
        <f>IF(Table1[[#This Row],[Resolution_Date]]="NA"," ",Table1[[#This Row],[Resolution_Date]]-Table1[[#This Row],[Complaint_Date]])</f>
        <v xml:space="preserve"> </v>
      </c>
      <c r="L572" t="str">
        <f>TEXT(Table1[[#This Row],[Complaint_Date]],"MMM")</f>
        <v>Apr</v>
      </c>
      <c r="M572" t="str">
        <f>IF(Table1[[#This Row],[Resolution_Time_Hours]]&lt;=24,"Fast",IF(Table1[[#This Row],[Resolution_Time_Hours]]&lt;=72,"Medium","Slow"))</f>
        <v>Medium</v>
      </c>
    </row>
    <row r="573" spans="1:13" x14ac:dyDescent="0.3">
      <c r="A573" t="s">
        <v>1487</v>
      </c>
      <c r="B573" t="s">
        <v>1488</v>
      </c>
      <c r="C573" t="s">
        <v>17</v>
      </c>
      <c r="D573" t="s">
        <v>18</v>
      </c>
      <c r="E573" s="2" t="s">
        <v>532</v>
      </c>
      <c r="F573">
        <v>25</v>
      </c>
      <c r="G573" t="s">
        <v>20</v>
      </c>
      <c r="H573" s="2" t="s">
        <v>1489</v>
      </c>
      <c r="I573">
        <v>2</v>
      </c>
      <c r="J573" t="str">
        <f>IF(Table1[[#This Row],[Resolution_Date]]="NA","Unresolved","Resolved")</f>
        <v>Resolved</v>
      </c>
      <c r="K573">
        <f>IF(Table1[[#This Row],[Resolution_Date]]="NA"," ",Table1[[#This Row],[Resolution_Date]]-Table1[[#This Row],[Complaint_Date]])</f>
        <v>1</v>
      </c>
      <c r="L573" t="str">
        <f>TEXT(Table1[[#This Row],[Complaint_Date]],"MMM")</f>
        <v>Jun</v>
      </c>
      <c r="M573" t="str">
        <f>IF(Table1[[#This Row],[Resolution_Time_Hours]]&lt;=24,"Fast",IF(Table1[[#This Row],[Resolution_Time_Hours]]&lt;=72,"Medium","Slow"))</f>
        <v>Medium</v>
      </c>
    </row>
    <row r="574" spans="1:13" x14ac:dyDescent="0.3">
      <c r="A574" t="s">
        <v>1490</v>
      </c>
      <c r="B574" t="s">
        <v>1491</v>
      </c>
      <c r="C574" t="s">
        <v>17</v>
      </c>
      <c r="D574" t="s">
        <v>18</v>
      </c>
      <c r="E574" s="2" t="s">
        <v>308</v>
      </c>
      <c r="F574">
        <v>25</v>
      </c>
      <c r="G574" t="s">
        <v>20</v>
      </c>
      <c r="H574" s="2" t="s">
        <v>501</v>
      </c>
      <c r="I574">
        <v>2</v>
      </c>
      <c r="J574" t="str">
        <f>IF(Table1[[#This Row],[Resolution_Date]]="NA","Unresolved","Resolved")</f>
        <v>Resolved</v>
      </c>
      <c r="K574">
        <f>IF(Table1[[#This Row],[Resolution_Date]]="NA"," ",Table1[[#This Row],[Resolution_Date]]-Table1[[#This Row],[Complaint_Date]])</f>
        <v>1</v>
      </c>
      <c r="L574" t="str">
        <f>TEXT(Table1[[#This Row],[Complaint_Date]],"MMM")</f>
        <v>Jun</v>
      </c>
      <c r="M574" t="str">
        <f>IF(Table1[[#This Row],[Resolution_Time_Hours]]&lt;=24,"Fast",IF(Table1[[#This Row],[Resolution_Time_Hours]]&lt;=72,"Medium","Slow"))</f>
        <v>Medium</v>
      </c>
    </row>
    <row r="575" spans="1:13" x14ac:dyDescent="0.3">
      <c r="A575" t="s">
        <v>1492</v>
      </c>
      <c r="B575" t="s">
        <v>1493</v>
      </c>
      <c r="C575" t="s">
        <v>110</v>
      </c>
      <c r="D575" t="s">
        <v>27</v>
      </c>
      <c r="E575" s="2" t="s">
        <v>336</v>
      </c>
      <c r="F575">
        <v>17</v>
      </c>
      <c r="G575" t="s">
        <v>20</v>
      </c>
      <c r="H575" s="2" t="s">
        <v>336</v>
      </c>
      <c r="I575">
        <v>3</v>
      </c>
      <c r="J575" t="str">
        <f>IF(Table1[[#This Row],[Resolution_Date]]="NA","Unresolved","Resolved")</f>
        <v>Resolved</v>
      </c>
      <c r="K575">
        <f>IF(Table1[[#This Row],[Resolution_Date]]="NA"," ",Table1[[#This Row],[Resolution_Date]]-Table1[[#This Row],[Complaint_Date]])</f>
        <v>0</v>
      </c>
      <c r="L575" t="str">
        <f>TEXT(Table1[[#This Row],[Complaint_Date]],"MMM")</f>
        <v>Oct</v>
      </c>
      <c r="M575" t="str">
        <f>IF(Table1[[#This Row],[Resolution_Time_Hours]]&lt;=24,"Fast",IF(Table1[[#This Row],[Resolution_Time_Hours]]&lt;=72,"Medium","Slow"))</f>
        <v>Fast</v>
      </c>
    </row>
    <row r="576" spans="1:13" x14ac:dyDescent="0.3">
      <c r="A576" t="s">
        <v>1494</v>
      </c>
      <c r="B576" t="s">
        <v>1495</v>
      </c>
      <c r="C576" t="s">
        <v>53</v>
      </c>
      <c r="D576" t="s">
        <v>18</v>
      </c>
      <c r="E576" s="2" t="s">
        <v>1496</v>
      </c>
      <c r="F576">
        <v>10</v>
      </c>
      <c r="G576" t="s">
        <v>20</v>
      </c>
      <c r="H576" s="2" t="s">
        <v>1496</v>
      </c>
      <c r="I576">
        <v>4</v>
      </c>
      <c r="J576" t="str">
        <f>IF(Table1[[#This Row],[Resolution_Date]]="NA","Unresolved","Resolved")</f>
        <v>Resolved</v>
      </c>
      <c r="K576">
        <f>IF(Table1[[#This Row],[Resolution_Date]]="NA"," ",Table1[[#This Row],[Resolution_Date]]-Table1[[#This Row],[Complaint_Date]])</f>
        <v>0</v>
      </c>
      <c r="L576" t="str">
        <f>TEXT(Table1[[#This Row],[Complaint_Date]],"MMM")</f>
        <v>Apr</v>
      </c>
      <c r="M576" t="str">
        <f>IF(Table1[[#This Row],[Resolution_Time_Hours]]&lt;=24,"Fast",IF(Table1[[#This Row],[Resolution_Time_Hours]]&lt;=72,"Medium","Slow"))</f>
        <v>Fast</v>
      </c>
    </row>
    <row r="577" spans="1:13" x14ac:dyDescent="0.3">
      <c r="A577" t="s">
        <v>1497</v>
      </c>
      <c r="B577" t="s">
        <v>1498</v>
      </c>
      <c r="C577" t="s">
        <v>17</v>
      </c>
      <c r="D577" t="s">
        <v>27</v>
      </c>
      <c r="E577" s="2" t="s">
        <v>363</v>
      </c>
      <c r="F577">
        <v>31</v>
      </c>
      <c r="G577" t="s">
        <v>20</v>
      </c>
      <c r="H577" s="2" t="s">
        <v>329</v>
      </c>
      <c r="I577">
        <v>2</v>
      </c>
      <c r="J577" t="str">
        <f>IF(Table1[[#This Row],[Resolution_Date]]="NA","Unresolved","Resolved")</f>
        <v>Resolved</v>
      </c>
      <c r="K577">
        <f>IF(Table1[[#This Row],[Resolution_Date]]="NA"," ",Table1[[#This Row],[Resolution_Date]]-Table1[[#This Row],[Complaint_Date]])</f>
        <v>1</v>
      </c>
      <c r="L577" t="str">
        <f>TEXT(Table1[[#This Row],[Complaint_Date]],"MMM")</f>
        <v>Nov</v>
      </c>
      <c r="M577" t="str">
        <f>IF(Table1[[#This Row],[Resolution_Time_Hours]]&lt;=24,"Fast",IF(Table1[[#This Row],[Resolution_Time_Hours]]&lt;=72,"Medium","Slow"))</f>
        <v>Medium</v>
      </c>
    </row>
    <row r="578" spans="1:13" x14ac:dyDescent="0.3">
      <c r="A578" t="s">
        <v>1499</v>
      </c>
      <c r="B578" t="s">
        <v>1500</v>
      </c>
      <c r="C578" t="s">
        <v>43</v>
      </c>
      <c r="D578" t="s">
        <v>18</v>
      </c>
      <c r="E578" s="2" t="s">
        <v>437</v>
      </c>
      <c r="F578">
        <v>34</v>
      </c>
      <c r="G578" t="s">
        <v>20</v>
      </c>
      <c r="H578" s="2" t="s">
        <v>1501</v>
      </c>
      <c r="I578">
        <v>2</v>
      </c>
      <c r="J578" t="str">
        <f>IF(Table1[[#This Row],[Resolution_Date]]="NA","Unresolved","Resolved")</f>
        <v>Resolved</v>
      </c>
      <c r="K578">
        <f>IF(Table1[[#This Row],[Resolution_Date]]="NA"," ",Table1[[#This Row],[Resolution_Date]]-Table1[[#This Row],[Complaint_Date]])</f>
        <v>1</v>
      </c>
      <c r="L578" t="str">
        <f>TEXT(Table1[[#This Row],[Complaint_Date]],"MMM")</f>
        <v>Oct</v>
      </c>
      <c r="M578" t="str">
        <f>IF(Table1[[#This Row],[Resolution_Time_Hours]]&lt;=24,"Fast",IF(Table1[[#This Row],[Resolution_Time_Hours]]&lt;=72,"Medium","Slow"))</f>
        <v>Medium</v>
      </c>
    </row>
    <row r="579" spans="1:13" x14ac:dyDescent="0.3">
      <c r="A579" t="s">
        <v>1502</v>
      </c>
      <c r="B579" t="s">
        <v>1503</v>
      </c>
      <c r="C579" t="s">
        <v>110</v>
      </c>
      <c r="D579" t="s">
        <v>95</v>
      </c>
      <c r="E579" s="2" t="s">
        <v>267</v>
      </c>
      <c r="F579">
        <v>23</v>
      </c>
      <c r="G579" t="s">
        <v>40</v>
      </c>
      <c r="H579" s="2" t="s">
        <v>2820</v>
      </c>
      <c r="J579" t="str">
        <f>IF(Table1[[#This Row],[Resolution_Date]]="NA","Unresolved","Resolved")</f>
        <v>Unresolved</v>
      </c>
      <c r="K579" t="str">
        <f>IF(Table1[[#This Row],[Resolution_Date]]="NA"," ",Table1[[#This Row],[Resolution_Date]]-Table1[[#This Row],[Complaint_Date]])</f>
        <v xml:space="preserve"> </v>
      </c>
      <c r="L579" t="str">
        <f>TEXT(Table1[[#This Row],[Complaint_Date]],"MMM")</f>
        <v>Jan</v>
      </c>
      <c r="M579" t="str">
        <f>IF(Table1[[#This Row],[Resolution_Time_Hours]]&lt;=24,"Fast",IF(Table1[[#This Row],[Resolution_Time_Hours]]&lt;=72,"Medium","Slow"))</f>
        <v>Fast</v>
      </c>
    </row>
    <row r="580" spans="1:13" x14ac:dyDescent="0.3">
      <c r="A580" t="s">
        <v>1504</v>
      </c>
      <c r="B580" t="s">
        <v>1505</v>
      </c>
      <c r="C580" t="s">
        <v>43</v>
      </c>
      <c r="D580" t="s">
        <v>38</v>
      </c>
      <c r="E580" s="2" t="s">
        <v>31</v>
      </c>
      <c r="F580">
        <v>31</v>
      </c>
      <c r="G580" t="s">
        <v>40</v>
      </c>
      <c r="H580" s="2" t="s">
        <v>2820</v>
      </c>
      <c r="J580" t="str">
        <f>IF(Table1[[#This Row],[Resolution_Date]]="NA","Unresolved","Resolved")</f>
        <v>Unresolved</v>
      </c>
      <c r="K580" t="str">
        <f>IF(Table1[[#This Row],[Resolution_Date]]="NA"," ",Table1[[#This Row],[Resolution_Date]]-Table1[[#This Row],[Complaint_Date]])</f>
        <v xml:space="preserve"> </v>
      </c>
      <c r="L580" t="str">
        <f>TEXT(Table1[[#This Row],[Complaint_Date]],"MMM")</f>
        <v>Mar</v>
      </c>
      <c r="M580" t="str">
        <f>IF(Table1[[#This Row],[Resolution_Time_Hours]]&lt;=24,"Fast",IF(Table1[[#This Row],[Resolution_Time_Hours]]&lt;=72,"Medium","Slow"))</f>
        <v>Medium</v>
      </c>
    </row>
    <row r="581" spans="1:13" x14ac:dyDescent="0.3">
      <c r="A581" t="s">
        <v>1506</v>
      </c>
      <c r="B581" t="s">
        <v>1507</v>
      </c>
      <c r="C581" t="s">
        <v>11</v>
      </c>
      <c r="D581" t="s">
        <v>95</v>
      </c>
      <c r="E581" s="2" t="s">
        <v>1029</v>
      </c>
      <c r="F581">
        <v>47</v>
      </c>
      <c r="G581" t="s">
        <v>14</v>
      </c>
      <c r="H581" s="2" t="s">
        <v>2820</v>
      </c>
      <c r="J581" t="str">
        <f>IF(Table1[[#This Row],[Resolution_Date]]="NA","Unresolved","Resolved")</f>
        <v>Unresolved</v>
      </c>
      <c r="K581" t="str">
        <f>IF(Table1[[#This Row],[Resolution_Date]]="NA"," ",Table1[[#This Row],[Resolution_Date]]-Table1[[#This Row],[Complaint_Date]])</f>
        <v xml:space="preserve"> </v>
      </c>
      <c r="L581" t="str">
        <f>TEXT(Table1[[#This Row],[Complaint_Date]],"MMM")</f>
        <v>Nov</v>
      </c>
      <c r="M581" t="str">
        <f>IF(Table1[[#This Row],[Resolution_Time_Hours]]&lt;=24,"Fast",IF(Table1[[#This Row],[Resolution_Time_Hours]]&lt;=72,"Medium","Slow"))</f>
        <v>Medium</v>
      </c>
    </row>
    <row r="582" spans="1:13" x14ac:dyDescent="0.3">
      <c r="A582" t="s">
        <v>1508</v>
      </c>
      <c r="B582" t="s">
        <v>1509</v>
      </c>
      <c r="C582" t="s">
        <v>43</v>
      </c>
      <c r="D582" t="s">
        <v>12</v>
      </c>
      <c r="E582" s="2" t="s">
        <v>708</v>
      </c>
      <c r="F582">
        <v>24</v>
      </c>
      <c r="G582" t="s">
        <v>20</v>
      </c>
      <c r="H582" s="2" t="s">
        <v>1143</v>
      </c>
      <c r="I582">
        <v>3</v>
      </c>
      <c r="J582" t="str">
        <f>IF(Table1[[#This Row],[Resolution_Date]]="NA","Unresolved","Resolved")</f>
        <v>Resolved</v>
      </c>
      <c r="K582">
        <f>IF(Table1[[#This Row],[Resolution_Date]]="NA"," ",Table1[[#This Row],[Resolution_Date]]-Table1[[#This Row],[Complaint_Date]])</f>
        <v>1</v>
      </c>
      <c r="L582" t="str">
        <f>TEXT(Table1[[#This Row],[Complaint_Date]],"MMM")</f>
        <v>Jan</v>
      </c>
      <c r="M582" t="str">
        <f>IF(Table1[[#This Row],[Resolution_Time_Hours]]&lt;=24,"Fast",IF(Table1[[#This Row],[Resolution_Time_Hours]]&lt;=72,"Medium","Slow"))</f>
        <v>Fast</v>
      </c>
    </row>
    <row r="583" spans="1:13" x14ac:dyDescent="0.3">
      <c r="A583" t="s">
        <v>1510</v>
      </c>
      <c r="B583" t="s">
        <v>1511</v>
      </c>
      <c r="C583" t="s">
        <v>17</v>
      </c>
      <c r="D583" t="s">
        <v>38</v>
      </c>
      <c r="E583" s="2" t="s">
        <v>1109</v>
      </c>
      <c r="F583">
        <v>7</v>
      </c>
      <c r="G583" t="s">
        <v>20</v>
      </c>
      <c r="H583" s="2" t="s">
        <v>1109</v>
      </c>
      <c r="I583">
        <v>5</v>
      </c>
      <c r="J583" t="str">
        <f>IF(Table1[[#This Row],[Resolution_Date]]="NA","Unresolved","Resolved")</f>
        <v>Resolved</v>
      </c>
      <c r="K583">
        <f>IF(Table1[[#This Row],[Resolution_Date]]="NA"," ",Table1[[#This Row],[Resolution_Date]]-Table1[[#This Row],[Complaint_Date]])</f>
        <v>0</v>
      </c>
      <c r="L583" t="str">
        <f>TEXT(Table1[[#This Row],[Complaint_Date]],"MMM")</f>
        <v>Sep</v>
      </c>
      <c r="M583" t="str">
        <f>IF(Table1[[#This Row],[Resolution_Time_Hours]]&lt;=24,"Fast",IF(Table1[[#This Row],[Resolution_Time_Hours]]&lt;=72,"Medium","Slow"))</f>
        <v>Fast</v>
      </c>
    </row>
    <row r="584" spans="1:13" x14ac:dyDescent="0.3">
      <c r="A584" t="s">
        <v>1512</v>
      </c>
      <c r="B584" t="s">
        <v>1513</v>
      </c>
      <c r="C584" t="s">
        <v>17</v>
      </c>
      <c r="D584" t="s">
        <v>38</v>
      </c>
      <c r="E584" s="2" t="s">
        <v>220</v>
      </c>
      <c r="F584">
        <v>19</v>
      </c>
      <c r="G584" t="s">
        <v>14</v>
      </c>
      <c r="H584" s="2" t="s">
        <v>2820</v>
      </c>
      <c r="J584" t="str">
        <f>IF(Table1[[#This Row],[Resolution_Date]]="NA","Unresolved","Resolved")</f>
        <v>Unresolved</v>
      </c>
      <c r="K584" t="str">
        <f>IF(Table1[[#This Row],[Resolution_Date]]="NA"," ",Table1[[#This Row],[Resolution_Date]]-Table1[[#This Row],[Complaint_Date]])</f>
        <v xml:space="preserve"> </v>
      </c>
      <c r="L584" t="str">
        <f>TEXT(Table1[[#This Row],[Complaint_Date]],"MMM")</f>
        <v>Jul</v>
      </c>
      <c r="M584" t="str">
        <f>IF(Table1[[#This Row],[Resolution_Time_Hours]]&lt;=24,"Fast",IF(Table1[[#This Row],[Resolution_Time_Hours]]&lt;=72,"Medium","Slow"))</f>
        <v>Fast</v>
      </c>
    </row>
    <row r="585" spans="1:13" x14ac:dyDescent="0.3">
      <c r="A585" t="s">
        <v>1514</v>
      </c>
      <c r="B585" t="s">
        <v>1515</v>
      </c>
      <c r="C585" t="s">
        <v>70</v>
      </c>
      <c r="D585" t="s">
        <v>95</v>
      </c>
      <c r="E585" s="2" t="s">
        <v>82</v>
      </c>
      <c r="F585">
        <v>8</v>
      </c>
      <c r="G585" t="s">
        <v>14</v>
      </c>
      <c r="H585" s="2" t="s">
        <v>2820</v>
      </c>
      <c r="J585" t="str">
        <f>IF(Table1[[#This Row],[Resolution_Date]]="NA","Unresolved","Resolved")</f>
        <v>Unresolved</v>
      </c>
      <c r="K585" t="str">
        <f>IF(Table1[[#This Row],[Resolution_Date]]="NA"," ",Table1[[#This Row],[Resolution_Date]]-Table1[[#This Row],[Complaint_Date]])</f>
        <v xml:space="preserve"> </v>
      </c>
      <c r="L585" t="str">
        <f>TEXT(Table1[[#This Row],[Complaint_Date]],"MMM")</f>
        <v>Sep</v>
      </c>
      <c r="M585" t="str">
        <f>IF(Table1[[#This Row],[Resolution_Time_Hours]]&lt;=24,"Fast",IF(Table1[[#This Row],[Resolution_Time_Hours]]&lt;=72,"Medium","Slow"))</f>
        <v>Fast</v>
      </c>
    </row>
    <row r="586" spans="1:13" x14ac:dyDescent="0.3">
      <c r="A586" t="s">
        <v>1516</v>
      </c>
      <c r="B586" t="s">
        <v>1517</v>
      </c>
      <c r="C586" t="s">
        <v>48</v>
      </c>
      <c r="D586" t="s">
        <v>27</v>
      </c>
      <c r="E586" s="2" t="s">
        <v>293</v>
      </c>
      <c r="F586">
        <v>37</v>
      </c>
      <c r="G586" t="s">
        <v>20</v>
      </c>
      <c r="H586" s="2" t="s">
        <v>437</v>
      </c>
      <c r="I586">
        <v>2</v>
      </c>
      <c r="J586" t="str">
        <f>IF(Table1[[#This Row],[Resolution_Date]]="NA","Unresolved","Resolved")</f>
        <v>Resolved</v>
      </c>
      <c r="K586">
        <f>IF(Table1[[#This Row],[Resolution_Date]]="NA"," ",Table1[[#This Row],[Resolution_Date]]-Table1[[#This Row],[Complaint_Date]])</f>
        <v>1</v>
      </c>
      <c r="L586" t="str">
        <f>TEXT(Table1[[#This Row],[Complaint_Date]],"MMM")</f>
        <v>Oct</v>
      </c>
      <c r="M586" t="str">
        <f>IF(Table1[[#This Row],[Resolution_Time_Hours]]&lt;=24,"Fast",IF(Table1[[#This Row],[Resolution_Time_Hours]]&lt;=72,"Medium","Slow"))</f>
        <v>Medium</v>
      </c>
    </row>
    <row r="587" spans="1:13" x14ac:dyDescent="0.3">
      <c r="A587" t="s">
        <v>1518</v>
      </c>
      <c r="B587" t="s">
        <v>1519</v>
      </c>
      <c r="C587" t="s">
        <v>11</v>
      </c>
      <c r="D587" t="s">
        <v>12</v>
      </c>
      <c r="E587" s="2" t="s">
        <v>339</v>
      </c>
      <c r="F587">
        <v>48</v>
      </c>
      <c r="G587" t="s">
        <v>20</v>
      </c>
      <c r="H587" s="2" t="s">
        <v>681</v>
      </c>
      <c r="I587">
        <v>2</v>
      </c>
      <c r="J587" t="str">
        <f>IF(Table1[[#This Row],[Resolution_Date]]="NA","Unresolved","Resolved")</f>
        <v>Resolved</v>
      </c>
      <c r="K587">
        <f>IF(Table1[[#This Row],[Resolution_Date]]="NA"," ",Table1[[#This Row],[Resolution_Date]]-Table1[[#This Row],[Complaint_Date]])</f>
        <v>2</v>
      </c>
      <c r="L587" t="str">
        <f>TEXT(Table1[[#This Row],[Complaint_Date]],"MMM")</f>
        <v>Apr</v>
      </c>
      <c r="M587" t="str">
        <f>IF(Table1[[#This Row],[Resolution_Time_Hours]]&lt;=24,"Fast",IF(Table1[[#This Row],[Resolution_Time_Hours]]&lt;=72,"Medium","Slow"))</f>
        <v>Medium</v>
      </c>
    </row>
    <row r="588" spans="1:13" x14ac:dyDescent="0.3">
      <c r="A588" t="s">
        <v>1520</v>
      </c>
      <c r="B588" t="s">
        <v>1521</v>
      </c>
      <c r="C588" t="s">
        <v>17</v>
      </c>
      <c r="D588" t="s">
        <v>27</v>
      </c>
      <c r="E588" s="2" t="s">
        <v>86</v>
      </c>
      <c r="F588">
        <v>14</v>
      </c>
      <c r="G588" t="s">
        <v>20</v>
      </c>
      <c r="H588" s="2" t="s">
        <v>86</v>
      </c>
      <c r="I588">
        <v>3</v>
      </c>
      <c r="J588" t="str">
        <f>IF(Table1[[#This Row],[Resolution_Date]]="NA","Unresolved","Resolved")</f>
        <v>Resolved</v>
      </c>
      <c r="K588">
        <f>IF(Table1[[#This Row],[Resolution_Date]]="NA"," ",Table1[[#This Row],[Resolution_Date]]-Table1[[#This Row],[Complaint_Date]])</f>
        <v>0</v>
      </c>
      <c r="L588" t="str">
        <f>TEXT(Table1[[#This Row],[Complaint_Date]],"MMM")</f>
        <v>Mar</v>
      </c>
      <c r="M588" t="str">
        <f>IF(Table1[[#This Row],[Resolution_Time_Hours]]&lt;=24,"Fast",IF(Table1[[#This Row],[Resolution_Time_Hours]]&lt;=72,"Medium","Slow"))</f>
        <v>Fast</v>
      </c>
    </row>
    <row r="589" spans="1:13" x14ac:dyDescent="0.3">
      <c r="A589" t="s">
        <v>1522</v>
      </c>
      <c r="B589" t="s">
        <v>1523</v>
      </c>
      <c r="C589" t="s">
        <v>34</v>
      </c>
      <c r="D589" t="s">
        <v>18</v>
      </c>
      <c r="E589" s="2" t="s">
        <v>124</v>
      </c>
      <c r="F589">
        <v>92</v>
      </c>
      <c r="G589" t="s">
        <v>20</v>
      </c>
      <c r="H589" s="2" t="s">
        <v>31</v>
      </c>
      <c r="I589">
        <v>1</v>
      </c>
      <c r="J589" t="str">
        <f>IF(Table1[[#This Row],[Resolution_Date]]="NA","Unresolved","Resolved")</f>
        <v>Resolved</v>
      </c>
      <c r="K589">
        <f>IF(Table1[[#This Row],[Resolution_Date]]="NA"," ",Table1[[#This Row],[Resolution_Date]]-Table1[[#This Row],[Complaint_Date]])</f>
        <v>3</v>
      </c>
      <c r="L589" t="str">
        <f>TEXT(Table1[[#This Row],[Complaint_Date]],"MMM")</f>
        <v>Mar</v>
      </c>
      <c r="M589" t="str">
        <f>IF(Table1[[#This Row],[Resolution_Time_Hours]]&lt;=24,"Fast",IF(Table1[[#This Row],[Resolution_Time_Hours]]&lt;=72,"Medium","Slow"))</f>
        <v>Slow</v>
      </c>
    </row>
    <row r="590" spans="1:13" x14ac:dyDescent="0.3">
      <c r="A590" t="s">
        <v>1524</v>
      </c>
      <c r="B590" t="s">
        <v>1525</v>
      </c>
      <c r="C590" t="s">
        <v>34</v>
      </c>
      <c r="D590" t="s">
        <v>38</v>
      </c>
      <c r="E590" s="2" t="s">
        <v>998</v>
      </c>
      <c r="F590">
        <v>71</v>
      </c>
      <c r="G590" t="s">
        <v>14</v>
      </c>
      <c r="H590" s="2" t="s">
        <v>2820</v>
      </c>
      <c r="J590" t="str">
        <f>IF(Table1[[#This Row],[Resolution_Date]]="NA","Unresolved","Resolved")</f>
        <v>Unresolved</v>
      </c>
      <c r="K590" t="str">
        <f>IF(Table1[[#This Row],[Resolution_Date]]="NA"," ",Table1[[#This Row],[Resolution_Date]]-Table1[[#This Row],[Complaint_Date]])</f>
        <v xml:space="preserve"> </v>
      </c>
      <c r="L590" t="str">
        <f>TEXT(Table1[[#This Row],[Complaint_Date]],"MMM")</f>
        <v>Jan</v>
      </c>
      <c r="M590" t="str">
        <f>IF(Table1[[#This Row],[Resolution_Time_Hours]]&lt;=24,"Fast",IF(Table1[[#This Row],[Resolution_Time_Hours]]&lt;=72,"Medium","Slow"))</f>
        <v>Medium</v>
      </c>
    </row>
    <row r="591" spans="1:13" x14ac:dyDescent="0.3">
      <c r="A591" t="s">
        <v>1526</v>
      </c>
      <c r="B591" t="s">
        <v>1527</v>
      </c>
      <c r="C591" t="s">
        <v>43</v>
      </c>
      <c r="D591" t="s">
        <v>95</v>
      </c>
      <c r="E591" s="2" t="s">
        <v>1528</v>
      </c>
      <c r="F591">
        <v>18</v>
      </c>
      <c r="G591" t="s">
        <v>40</v>
      </c>
      <c r="H591" s="2" t="s">
        <v>2820</v>
      </c>
      <c r="J591" t="str">
        <f>IF(Table1[[#This Row],[Resolution_Date]]="NA","Unresolved","Resolved")</f>
        <v>Unresolved</v>
      </c>
      <c r="K591" t="str">
        <f>IF(Table1[[#This Row],[Resolution_Date]]="NA"," ",Table1[[#This Row],[Resolution_Date]]-Table1[[#This Row],[Complaint_Date]])</f>
        <v xml:space="preserve"> </v>
      </c>
      <c r="L591" t="str">
        <f>TEXT(Table1[[#This Row],[Complaint_Date]],"MMM")</f>
        <v>Jan</v>
      </c>
      <c r="M591" t="str">
        <f>IF(Table1[[#This Row],[Resolution_Time_Hours]]&lt;=24,"Fast",IF(Table1[[#This Row],[Resolution_Time_Hours]]&lt;=72,"Medium","Slow"))</f>
        <v>Fast</v>
      </c>
    </row>
    <row r="592" spans="1:13" x14ac:dyDescent="0.3">
      <c r="A592" t="s">
        <v>1529</v>
      </c>
      <c r="B592" t="s">
        <v>1530</v>
      </c>
      <c r="C592" t="s">
        <v>53</v>
      </c>
      <c r="D592" t="s">
        <v>12</v>
      </c>
      <c r="E592" s="2" t="s">
        <v>535</v>
      </c>
      <c r="F592">
        <v>10</v>
      </c>
      <c r="G592" t="s">
        <v>20</v>
      </c>
      <c r="H592" s="2" t="s">
        <v>535</v>
      </c>
      <c r="I592">
        <v>4</v>
      </c>
      <c r="J592" t="str">
        <f>IF(Table1[[#This Row],[Resolution_Date]]="NA","Unresolved","Resolved")</f>
        <v>Resolved</v>
      </c>
      <c r="K592">
        <f>IF(Table1[[#This Row],[Resolution_Date]]="NA"," ",Table1[[#This Row],[Resolution_Date]]-Table1[[#This Row],[Complaint_Date]])</f>
        <v>0</v>
      </c>
      <c r="L592" t="str">
        <f>TEXT(Table1[[#This Row],[Complaint_Date]],"MMM")</f>
        <v>Nov</v>
      </c>
      <c r="M592" t="str">
        <f>IF(Table1[[#This Row],[Resolution_Time_Hours]]&lt;=24,"Fast",IF(Table1[[#This Row],[Resolution_Time_Hours]]&lt;=72,"Medium","Slow"))</f>
        <v>Fast</v>
      </c>
    </row>
    <row r="593" spans="1:13" x14ac:dyDescent="0.3">
      <c r="A593" t="s">
        <v>1531</v>
      </c>
      <c r="B593" t="s">
        <v>1532</v>
      </c>
      <c r="C593" t="s">
        <v>34</v>
      </c>
      <c r="D593" t="s">
        <v>38</v>
      </c>
      <c r="E593" s="2" t="s">
        <v>1140</v>
      </c>
      <c r="F593">
        <v>48</v>
      </c>
      <c r="G593" t="s">
        <v>14</v>
      </c>
      <c r="H593" s="2" t="s">
        <v>2820</v>
      </c>
      <c r="J593" t="str">
        <f>IF(Table1[[#This Row],[Resolution_Date]]="NA","Unresolved","Resolved")</f>
        <v>Unresolved</v>
      </c>
      <c r="K593" t="str">
        <f>IF(Table1[[#This Row],[Resolution_Date]]="NA"," ",Table1[[#This Row],[Resolution_Date]]-Table1[[#This Row],[Complaint_Date]])</f>
        <v xml:space="preserve"> </v>
      </c>
      <c r="L593" t="str">
        <f>TEXT(Table1[[#This Row],[Complaint_Date]],"MMM")</f>
        <v>Aug</v>
      </c>
      <c r="M593" t="str">
        <f>IF(Table1[[#This Row],[Resolution_Time_Hours]]&lt;=24,"Fast",IF(Table1[[#This Row],[Resolution_Time_Hours]]&lt;=72,"Medium","Slow"))</f>
        <v>Medium</v>
      </c>
    </row>
    <row r="594" spans="1:13" x14ac:dyDescent="0.3">
      <c r="A594" t="s">
        <v>1533</v>
      </c>
      <c r="B594" t="s">
        <v>1534</v>
      </c>
      <c r="C594" t="s">
        <v>48</v>
      </c>
      <c r="D594" t="s">
        <v>18</v>
      </c>
      <c r="E594" s="2" t="s">
        <v>729</v>
      </c>
      <c r="F594">
        <v>12</v>
      </c>
      <c r="G594" t="s">
        <v>20</v>
      </c>
      <c r="H594" s="2" t="s">
        <v>729</v>
      </c>
      <c r="I594">
        <v>5</v>
      </c>
      <c r="J594" t="str">
        <f>IF(Table1[[#This Row],[Resolution_Date]]="NA","Unresolved","Resolved")</f>
        <v>Resolved</v>
      </c>
      <c r="K594">
        <f>IF(Table1[[#This Row],[Resolution_Date]]="NA"," ",Table1[[#This Row],[Resolution_Date]]-Table1[[#This Row],[Complaint_Date]])</f>
        <v>0</v>
      </c>
      <c r="L594" t="str">
        <f>TEXT(Table1[[#This Row],[Complaint_Date]],"MMM")</f>
        <v>Oct</v>
      </c>
      <c r="M594" t="str">
        <f>IF(Table1[[#This Row],[Resolution_Time_Hours]]&lt;=24,"Fast",IF(Table1[[#This Row],[Resolution_Time_Hours]]&lt;=72,"Medium","Slow"))</f>
        <v>Fast</v>
      </c>
    </row>
    <row r="595" spans="1:13" x14ac:dyDescent="0.3">
      <c r="A595" t="s">
        <v>1535</v>
      </c>
      <c r="B595" t="s">
        <v>1536</v>
      </c>
      <c r="C595" t="s">
        <v>53</v>
      </c>
      <c r="D595" t="s">
        <v>12</v>
      </c>
      <c r="E595" s="2" t="s">
        <v>71</v>
      </c>
      <c r="F595">
        <v>5</v>
      </c>
      <c r="G595" t="s">
        <v>40</v>
      </c>
      <c r="H595" s="2" t="s">
        <v>2820</v>
      </c>
      <c r="J595" t="str">
        <f>IF(Table1[[#This Row],[Resolution_Date]]="NA","Unresolved","Resolved")</f>
        <v>Unresolved</v>
      </c>
      <c r="K595" t="str">
        <f>IF(Table1[[#This Row],[Resolution_Date]]="NA"," ",Table1[[#This Row],[Resolution_Date]]-Table1[[#This Row],[Complaint_Date]])</f>
        <v xml:space="preserve"> </v>
      </c>
      <c r="L595" t="str">
        <f>TEXT(Table1[[#This Row],[Complaint_Date]],"MMM")</f>
        <v>Jul</v>
      </c>
      <c r="M595" t="str">
        <f>IF(Table1[[#This Row],[Resolution_Time_Hours]]&lt;=24,"Fast",IF(Table1[[#This Row],[Resolution_Time_Hours]]&lt;=72,"Medium","Slow"))</f>
        <v>Fast</v>
      </c>
    </row>
    <row r="596" spans="1:13" x14ac:dyDescent="0.3">
      <c r="A596" t="s">
        <v>1537</v>
      </c>
      <c r="B596" t="s">
        <v>1538</v>
      </c>
      <c r="C596" t="s">
        <v>17</v>
      </c>
      <c r="D596" t="s">
        <v>27</v>
      </c>
      <c r="E596" s="2" t="s">
        <v>875</v>
      </c>
      <c r="F596">
        <v>22</v>
      </c>
      <c r="G596" t="s">
        <v>20</v>
      </c>
      <c r="H596" s="2" t="s">
        <v>875</v>
      </c>
      <c r="I596">
        <v>3</v>
      </c>
      <c r="J596" t="str">
        <f>IF(Table1[[#This Row],[Resolution_Date]]="NA","Unresolved","Resolved")</f>
        <v>Resolved</v>
      </c>
      <c r="K596">
        <f>IF(Table1[[#This Row],[Resolution_Date]]="NA"," ",Table1[[#This Row],[Resolution_Date]]-Table1[[#This Row],[Complaint_Date]])</f>
        <v>0</v>
      </c>
      <c r="L596" t="str">
        <f>TEXT(Table1[[#This Row],[Complaint_Date]],"MMM")</f>
        <v>Mar</v>
      </c>
      <c r="M596" t="str">
        <f>IF(Table1[[#This Row],[Resolution_Time_Hours]]&lt;=24,"Fast",IF(Table1[[#This Row],[Resolution_Time_Hours]]&lt;=72,"Medium","Slow"))</f>
        <v>Fast</v>
      </c>
    </row>
    <row r="597" spans="1:13" x14ac:dyDescent="0.3">
      <c r="A597" t="s">
        <v>1539</v>
      </c>
      <c r="B597" t="s">
        <v>1540</v>
      </c>
      <c r="C597" t="s">
        <v>17</v>
      </c>
      <c r="D597" t="s">
        <v>12</v>
      </c>
      <c r="E597" s="2" t="s">
        <v>918</v>
      </c>
      <c r="F597">
        <v>17</v>
      </c>
      <c r="G597" t="s">
        <v>20</v>
      </c>
      <c r="H597" s="2" t="s">
        <v>918</v>
      </c>
      <c r="I597">
        <v>3</v>
      </c>
      <c r="J597" t="str">
        <f>IF(Table1[[#This Row],[Resolution_Date]]="NA","Unresolved","Resolved")</f>
        <v>Resolved</v>
      </c>
      <c r="K597">
        <f>IF(Table1[[#This Row],[Resolution_Date]]="NA"," ",Table1[[#This Row],[Resolution_Date]]-Table1[[#This Row],[Complaint_Date]])</f>
        <v>0</v>
      </c>
      <c r="L597" t="str">
        <f>TEXT(Table1[[#This Row],[Complaint_Date]],"MMM")</f>
        <v>Apr</v>
      </c>
      <c r="M597" t="str">
        <f>IF(Table1[[#This Row],[Resolution_Time_Hours]]&lt;=24,"Fast",IF(Table1[[#This Row],[Resolution_Time_Hours]]&lt;=72,"Medium","Slow"))</f>
        <v>Fast</v>
      </c>
    </row>
    <row r="598" spans="1:13" x14ac:dyDescent="0.3">
      <c r="A598" t="s">
        <v>1541</v>
      </c>
      <c r="B598" t="s">
        <v>1542</v>
      </c>
      <c r="C598" t="s">
        <v>11</v>
      </c>
      <c r="D598" t="s">
        <v>95</v>
      </c>
      <c r="E598" s="2" t="s">
        <v>370</v>
      </c>
      <c r="F598">
        <v>30</v>
      </c>
      <c r="G598" t="s">
        <v>14</v>
      </c>
      <c r="H598" s="2" t="s">
        <v>2820</v>
      </c>
      <c r="J598" t="str">
        <f>IF(Table1[[#This Row],[Resolution_Date]]="NA","Unresolved","Resolved")</f>
        <v>Unresolved</v>
      </c>
      <c r="K598" t="str">
        <f>IF(Table1[[#This Row],[Resolution_Date]]="NA"," ",Table1[[#This Row],[Resolution_Date]]-Table1[[#This Row],[Complaint_Date]])</f>
        <v xml:space="preserve"> </v>
      </c>
      <c r="L598" t="str">
        <f>TEXT(Table1[[#This Row],[Complaint_Date]],"MMM")</f>
        <v>May</v>
      </c>
      <c r="M598" t="str">
        <f>IF(Table1[[#This Row],[Resolution_Time_Hours]]&lt;=24,"Fast",IF(Table1[[#This Row],[Resolution_Time_Hours]]&lt;=72,"Medium","Slow"))</f>
        <v>Medium</v>
      </c>
    </row>
    <row r="599" spans="1:13" x14ac:dyDescent="0.3">
      <c r="A599" t="s">
        <v>1543</v>
      </c>
      <c r="B599" t="s">
        <v>1544</v>
      </c>
      <c r="C599" t="s">
        <v>48</v>
      </c>
      <c r="D599" t="s">
        <v>18</v>
      </c>
      <c r="E599" s="2" t="s">
        <v>127</v>
      </c>
      <c r="F599">
        <v>45</v>
      </c>
      <c r="G599" t="s">
        <v>20</v>
      </c>
      <c r="H599" s="2" t="s">
        <v>489</v>
      </c>
      <c r="I599">
        <v>5</v>
      </c>
      <c r="J599" t="str">
        <f>IF(Table1[[#This Row],[Resolution_Date]]="NA","Unresolved","Resolved")</f>
        <v>Resolved</v>
      </c>
      <c r="K599">
        <f>IF(Table1[[#This Row],[Resolution_Date]]="NA"," ",Table1[[#This Row],[Resolution_Date]]-Table1[[#This Row],[Complaint_Date]])</f>
        <v>1</v>
      </c>
      <c r="L599" t="str">
        <f>TEXT(Table1[[#This Row],[Complaint_Date]],"MMM")</f>
        <v>Aug</v>
      </c>
      <c r="M599" t="str">
        <f>IF(Table1[[#This Row],[Resolution_Time_Hours]]&lt;=24,"Fast",IF(Table1[[#This Row],[Resolution_Time_Hours]]&lt;=72,"Medium","Slow"))</f>
        <v>Medium</v>
      </c>
    </row>
    <row r="600" spans="1:13" x14ac:dyDescent="0.3">
      <c r="A600" t="s">
        <v>1545</v>
      </c>
      <c r="B600" t="s">
        <v>1546</v>
      </c>
      <c r="C600" t="s">
        <v>110</v>
      </c>
      <c r="D600" t="s">
        <v>27</v>
      </c>
      <c r="E600" s="2" t="s">
        <v>1045</v>
      </c>
      <c r="F600">
        <v>19</v>
      </c>
      <c r="G600" t="s">
        <v>20</v>
      </c>
      <c r="H600" s="2" t="s">
        <v>1045</v>
      </c>
      <c r="I600">
        <v>3</v>
      </c>
      <c r="J600" t="str">
        <f>IF(Table1[[#This Row],[Resolution_Date]]="NA","Unresolved","Resolved")</f>
        <v>Resolved</v>
      </c>
      <c r="K600">
        <f>IF(Table1[[#This Row],[Resolution_Date]]="NA"," ",Table1[[#This Row],[Resolution_Date]]-Table1[[#This Row],[Complaint_Date]])</f>
        <v>0</v>
      </c>
      <c r="L600" t="str">
        <f>TEXT(Table1[[#This Row],[Complaint_Date]],"MMM")</f>
        <v>Apr</v>
      </c>
      <c r="M600" t="str">
        <f>IF(Table1[[#This Row],[Resolution_Time_Hours]]&lt;=24,"Fast",IF(Table1[[#This Row],[Resolution_Time_Hours]]&lt;=72,"Medium","Slow"))</f>
        <v>Fast</v>
      </c>
    </row>
    <row r="601" spans="1:13" x14ac:dyDescent="0.3">
      <c r="A601" t="s">
        <v>1547</v>
      </c>
      <c r="B601" t="s">
        <v>1548</v>
      </c>
      <c r="C601" t="s">
        <v>53</v>
      </c>
      <c r="D601" t="s">
        <v>38</v>
      </c>
      <c r="E601" s="2" t="s">
        <v>192</v>
      </c>
      <c r="F601">
        <v>5</v>
      </c>
      <c r="G601" t="s">
        <v>20</v>
      </c>
      <c r="H601" s="2" t="s">
        <v>192</v>
      </c>
      <c r="I601">
        <v>5</v>
      </c>
      <c r="J601" t="str">
        <f>IF(Table1[[#This Row],[Resolution_Date]]="NA","Unresolved","Resolved")</f>
        <v>Resolved</v>
      </c>
      <c r="K601">
        <f>IF(Table1[[#This Row],[Resolution_Date]]="NA"," ",Table1[[#This Row],[Resolution_Date]]-Table1[[#This Row],[Complaint_Date]])</f>
        <v>0</v>
      </c>
      <c r="L601" t="str">
        <f>TEXT(Table1[[#This Row],[Complaint_Date]],"MMM")</f>
        <v>Nov</v>
      </c>
      <c r="M601" t="str">
        <f>IF(Table1[[#This Row],[Resolution_Time_Hours]]&lt;=24,"Fast",IF(Table1[[#This Row],[Resolution_Time_Hours]]&lt;=72,"Medium","Slow"))</f>
        <v>Fast</v>
      </c>
    </row>
    <row r="602" spans="1:13" x14ac:dyDescent="0.3">
      <c r="A602" t="s">
        <v>1549</v>
      </c>
      <c r="B602" t="s">
        <v>1550</v>
      </c>
      <c r="C602" t="s">
        <v>48</v>
      </c>
      <c r="D602" t="s">
        <v>38</v>
      </c>
      <c r="E602" s="2" t="s">
        <v>111</v>
      </c>
      <c r="F602">
        <v>15</v>
      </c>
      <c r="G602" t="s">
        <v>20</v>
      </c>
      <c r="H602" s="2" t="s">
        <v>111</v>
      </c>
      <c r="I602">
        <v>3</v>
      </c>
      <c r="J602" t="str">
        <f>IF(Table1[[#This Row],[Resolution_Date]]="NA","Unresolved","Resolved")</f>
        <v>Resolved</v>
      </c>
      <c r="K602">
        <f>IF(Table1[[#This Row],[Resolution_Date]]="NA"," ",Table1[[#This Row],[Resolution_Date]]-Table1[[#This Row],[Complaint_Date]])</f>
        <v>0</v>
      </c>
      <c r="L602" t="str">
        <f>TEXT(Table1[[#This Row],[Complaint_Date]],"MMM")</f>
        <v>Jan</v>
      </c>
      <c r="M602" t="str">
        <f>IF(Table1[[#This Row],[Resolution_Time_Hours]]&lt;=24,"Fast",IF(Table1[[#This Row],[Resolution_Time_Hours]]&lt;=72,"Medium","Slow"))</f>
        <v>Fast</v>
      </c>
    </row>
    <row r="603" spans="1:13" x14ac:dyDescent="0.3">
      <c r="A603" t="s">
        <v>1551</v>
      </c>
      <c r="B603" t="s">
        <v>1552</v>
      </c>
      <c r="C603" t="s">
        <v>17</v>
      </c>
      <c r="D603" t="s">
        <v>27</v>
      </c>
      <c r="E603" s="2" t="s">
        <v>333</v>
      </c>
      <c r="F603">
        <v>30</v>
      </c>
      <c r="G603" t="s">
        <v>40</v>
      </c>
      <c r="H603" s="2" t="s">
        <v>2820</v>
      </c>
      <c r="J603" t="str">
        <f>IF(Table1[[#This Row],[Resolution_Date]]="NA","Unresolved","Resolved")</f>
        <v>Unresolved</v>
      </c>
      <c r="K603" t="str">
        <f>IF(Table1[[#This Row],[Resolution_Date]]="NA"," ",Table1[[#This Row],[Resolution_Date]]-Table1[[#This Row],[Complaint_Date]])</f>
        <v xml:space="preserve"> </v>
      </c>
      <c r="L603" t="str">
        <f>TEXT(Table1[[#This Row],[Complaint_Date]],"MMM")</f>
        <v>Sep</v>
      </c>
      <c r="M603" t="str">
        <f>IF(Table1[[#This Row],[Resolution_Time_Hours]]&lt;=24,"Fast",IF(Table1[[#This Row],[Resolution_Time_Hours]]&lt;=72,"Medium","Slow"))</f>
        <v>Medium</v>
      </c>
    </row>
    <row r="604" spans="1:13" x14ac:dyDescent="0.3">
      <c r="A604" t="s">
        <v>1553</v>
      </c>
      <c r="B604" t="s">
        <v>1554</v>
      </c>
      <c r="C604" t="s">
        <v>53</v>
      </c>
      <c r="D604" t="s">
        <v>95</v>
      </c>
      <c r="E604" s="2" t="s">
        <v>1555</v>
      </c>
      <c r="F604">
        <v>3</v>
      </c>
      <c r="G604" t="s">
        <v>20</v>
      </c>
      <c r="H604" s="2" t="s">
        <v>1555</v>
      </c>
      <c r="I604">
        <v>5</v>
      </c>
      <c r="J604" t="str">
        <f>IF(Table1[[#This Row],[Resolution_Date]]="NA","Unresolved","Resolved")</f>
        <v>Resolved</v>
      </c>
      <c r="K604">
        <f>IF(Table1[[#This Row],[Resolution_Date]]="NA"," ",Table1[[#This Row],[Resolution_Date]]-Table1[[#This Row],[Complaint_Date]])</f>
        <v>0</v>
      </c>
      <c r="L604" t="str">
        <f>TEXT(Table1[[#This Row],[Complaint_Date]],"MMM")</f>
        <v>Sep</v>
      </c>
      <c r="M604" t="str">
        <f>IF(Table1[[#This Row],[Resolution_Time_Hours]]&lt;=24,"Fast",IF(Table1[[#This Row],[Resolution_Time_Hours]]&lt;=72,"Medium","Slow"))</f>
        <v>Fast</v>
      </c>
    </row>
    <row r="605" spans="1:13" x14ac:dyDescent="0.3">
      <c r="A605" t="s">
        <v>1556</v>
      </c>
      <c r="B605" t="s">
        <v>1557</v>
      </c>
      <c r="C605" t="s">
        <v>70</v>
      </c>
      <c r="D605" t="s">
        <v>38</v>
      </c>
      <c r="E605" s="2" t="s">
        <v>28</v>
      </c>
      <c r="F605">
        <v>23</v>
      </c>
      <c r="G605" t="s">
        <v>20</v>
      </c>
      <c r="H605" s="2" t="s">
        <v>28</v>
      </c>
      <c r="I605">
        <v>3</v>
      </c>
      <c r="J605" t="str">
        <f>IF(Table1[[#This Row],[Resolution_Date]]="NA","Unresolved","Resolved")</f>
        <v>Resolved</v>
      </c>
      <c r="K605">
        <f>IF(Table1[[#This Row],[Resolution_Date]]="NA"," ",Table1[[#This Row],[Resolution_Date]]-Table1[[#This Row],[Complaint_Date]])</f>
        <v>0</v>
      </c>
      <c r="L605" t="str">
        <f>TEXT(Table1[[#This Row],[Complaint_Date]],"MMM")</f>
        <v>May</v>
      </c>
      <c r="M605" t="str">
        <f>IF(Table1[[#This Row],[Resolution_Time_Hours]]&lt;=24,"Fast",IF(Table1[[#This Row],[Resolution_Time_Hours]]&lt;=72,"Medium","Slow"))</f>
        <v>Fast</v>
      </c>
    </row>
    <row r="606" spans="1:13" x14ac:dyDescent="0.3">
      <c r="A606" t="s">
        <v>1558</v>
      </c>
      <c r="B606" t="s">
        <v>1559</v>
      </c>
      <c r="C606" t="s">
        <v>70</v>
      </c>
      <c r="D606" t="s">
        <v>27</v>
      </c>
      <c r="E606" s="2" t="s">
        <v>1109</v>
      </c>
      <c r="F606">
        <v>8</v>
      </c>
      <c r="G606" t="s">
        <v>20</v>
      </c>
      <c r="H606" s="2" t="s">
        <v>1109</v>
      </c>
      <c r="I606">
        <v>4</v>
      </c>
      <c r="J606" t="str">
        <f>IF(Table1[[#This Row],[Resolution_Date]]="NA","Unresolved","Resolved")</f>
        <v>Resolved</v>
      </c>
      <c r="K606">
        <f>IF(Table1[[#This Row],[Resolution_Date]]="NA"," ",Table1[[#This Row],[Resolution_Date]]-Table1[[#This Row],[Complaint_Date]])</f>
        <v>0</v>
      </c>
      <c r="L606" t="str">
        <f>TEXT(Table1[[#This Row],[Complaint_Date]],"MMM")</f>
        <v>Sep</v>
      </c>
      <c r="M606" t="str">
        <f>IF(Table1[[#This Row],[Resolution_Time_Hours]]&lt;=24,"Fast",IF(Table1[[#This Row],[Resolution_Time_Hours]]&lt;=72,"Medium","Slow"))</f>
        <v>Fast</v>
      </c>
    </row>
    <row r="607" spans="1:13" x14ac:dyDescent="0.3">
      <c r="A607" t="s">
        <v>1560</v>
      </c>
      <c r="B607" t="s">
        <v>1561</v>
      </c>
      <c r="C607" t="s">
        <v>48</v>
      </c>
      <c r="D607" t="s">
        <v>18</v>
      </c>
      <c r="E607" s="2" t="s">
        <v>1528</v>
      </c>
      <c r="F607">
        <v>47</v>
      </c>
      <c r="G607" t="s">
        <v>20</v>
      </c>
      <c r="H607" s="2" t="s">
        <v>549</v>
      </c>
      <c r="I607">
        <v>2</v>
      </c>
      <c r="J607" t="str">
        <f>IF(Table1[[#This Row],[Resolution_Date]]="NA","Unresolved","Resolved")</f>
        <v>Resolved</v>
      </c>
      <c r="K607">
        <f>IF(Table1[[#This Row],[Resolution_Date]]="NA"," ",Table1[[#This Row],[Resolution_Date]]-Table1[[#This Row],[Complaint_Date]])</f>
        <v>1</v>
      </c>
      <c r="L607" t="str">
        <f>TEXT(Table1[[#This Row],[Complaint_Date]],"MMM")</f>
        <v>Jan</v>
      </c>
      <c r="M607" t="str">
        <f>IF(Table1[[#This Row],[Resolution_Time_Hours]]&lt;=24,"Fast",IF(Table1[[#This Row],[Resolution_Time_Hours]]&lt;=72,"Medium","Slow"))</f>
        <v>Medium</v>
      </c>
    </row>
    <row r="608" spans="1:13" x14ac:dyDescent="0.3">
      <c r="A608" t="s">
        <v>1562</v>
      </c>
      <c r="B608" t="s">
        <v>1563</v>
      </c>
      <c r="C608" t="s">
        <v>70</v>
      </c>
      <c r="D608" t="s">
        <v>38</v>
      </c>
      <c r="E608" s="2" t="s">
        <v>250</v>
      </c>
      <c r="F608">
        <v>24</v>
      </c>
      <c r="G608" t="s">
        <v>20</v>
      </c>
      <c r="H608" s="2" t="s">
        <v>150</v>
      </c>
      <c r="I608">
        <v>3</v>
      </c>
      <c r="J608" t="str">
        <f>IF(Table1[[#This Row],[Resolution_Date]]="NA","Unresolved","Resolved")</f>
        <v>Resolved</v>
      </c>
      <c r="K608">
        <f>IF(Table1[[#This Row],[Resolution_Date]]="NA"," ",Table1[[#This Row],[Resolution_Date]]-Table1[[#This Row],[Complaint_Date]])</f>
        <v>1</v>
      </c>
      <c r="L608" t="str">
        <f>TEXT(Table1[[#This Row],[Complaint_Date]],"MMM")</f>
        <v>Feb</v>
      </c>
      <c r="M608" t="str">
        <f>IF(Table1[[#This Row],[Resolution_Time_Hours]]&lt;=24,"Fast",IF(Table1[[#This Row],[Resolution_Time_Hours]]&lt;=72,"Medium","Slow"))</f>
        <v>Fast</v>
      </c>
    </row>
    <row r="609" spans="1:13" x14ac:dyDescent="0.3">
      <c r="A609" t="s">
        <v>1564</v>
      </c>
      <c r="B609" t="s">
        <v>1565</v>
      </c>
      <c r="C609" t="s">
        <v>70</v>
      </c>
      <c r="D609" t="s">
        <v>27</v>
      </c>
      <c r="E609" s="2" t="s">
        <v>543</v>
      </c>
      <c r="F609">
        <v>4</v>
      </c>
      <c r="G609" t="s">
        <v>20</v>
      </c>
      <c r="H609" s="2" t="s">
        <v>543</v>
      </c>
      <c r="I609">
        <v>5</v>
      </c>
      <c r="J609" t="str">
        <f>IF(Table1[[#This Row],[Resolution_Date]]="NA","Unresolved","Resolved")</f>
        <v>Resolved</v>
      </c>
      <c r="K609">
        <f>IF(Table1[[#This Row],[Resolution_Date]]="NA"," ",Table1[[#This Row],[Resolution_Date]]-Table1[[#This Row],[Complaint_Date]])</f>
        <v>0</v>
      </c>
      <c r="L609" t="str">
        <f>TEXT(Table1[[#This Row],[Complaint_Date]],"MMM")</f>
        <v>Nov</v>
      </c>
      <c r="M609" t="str">
        <f>IF(Table1[[#This Row],[Resolution_Time_Hours]]&lt;=24,"Fast",IF(Table1[[#This Row],[Resolution_Time_Hours]]&lt;=72,"Medium","Slow"))</f>
        <v>Fast</v>
      </c>
    </row>
    <row r="610" spans="1:13" x14ac:dyDescent="0.3">
      <c r="A610" t="s">
        <v>1566</v>
      </c>
      <c r="B610" t="s">
        <v>1567</v>
      </c>
      <c r="C610" t="s">
        <v>34</v>
      </c>
      <c r="D610" t="s">
        <v>12</v>
      </c>
      <c r="E610" s="2" t="s">
        <v>657</v>
      </c>
      <c r="F610">
        <v>61</v>
      </c>
      <c r="G610" t="s">
        <v>20</v>
      </c>
      <c r="H610" s="2" t="s">
        <v>220</v>
      </c>
      <c r="I610">
        <v>1</v>
      </c>
      <c r="J610" t="str">
        <f>IF(Table1[[#This Row],[Resolution_Date]]="NA","Unresolved","Resolved")</f>
        <v>Resolved</v>
      </c>
      <c r="K610">
        <f>IF(Table1[[#This Row],[Resolution_Date]]="NA"," ",Table1[[#This Row],[Resolution_Date]]-Table1[[#This Row],[Complaint_Date]])</f>
        <v>2</v>
      </c>
      <c r="L610" t="str">
        <f>TEXT(Table1[[#This Row],[Complaint_Date]],"MMM")</f>
        <v>Jul</v>
      </c>
      <c r="M610" t="str">
        <f>IF(Table1[[#This Row],[Resolution_Time_Hours]]&lt;=24,"Fast",IF(Table1[[#This Row],[Resolution_Time_Hours]]&lt;=72,"Medium","Slow"))</f>
        <v>Medium</v>
      </c>
    </row>
    <row r="611" spans="1:13" x14ac:dyDescent="0.3">
      <c r="A611" t="s">
        <v>1568</v>
      </c>
      <c r="B611" t="s">
        <v>1569</v>
      </c>
      <c r="C611" t="s">
        <v>17</v>
      </c>
      <c r="D611" t="s">
        <v>95</v>
      </c>
      <c r="E611" s="2" t="s">
        <v>572</v>
      </c>
      <c r="F611">
        <v>5</v>
      </c>
      <c r="G611" t="s">
        <v>20</v>
      </c>
      <c r="H611" s="2" t="s">
        <v>572</v>
      </c>
      <c r="I611">
        <v>5</v>
      </c>
      <c r="J611" t="str">
        <f>IF(Table1[[#This Row],[Resolution_Date]]="NA","Unresolved","Resolved")</f>
        <v>Resolved</v>
      </c>
      <c r="K611">
        <f>IF(Table1[[#This Row],[Resolution_Date]]="NA"," ",Table1[[#This Row],[Resolution_Date]]-Table1[[#This Row],[Complaint_Date]])</f>
        <v>0</v>
      </c>
      <c r="L611" t="str">
        <f>TEXT(Table1[[#This Row],[Complaint_Date]],"MMM")</f>
        <v>May</v>
      </c>
      <c r="M611" t="str">
        <f>IF(Table1[[#This Row],[Resolution_Time_Hours]]&lt;=24,"Fast",IF(Table1[[#This Row],[Resolution_Time_Hours]]&lt;=72,"Medium","Slow"))</f>
        <v>Fast</v>
      </c>
    </row>
    <row r="612" spans="1:13" x14ac:dyDescent="0.3">
      <c r="A612" t="s">
        <v>1570</v>
      </c>
      <c r="B612" t="s">
        <v>1571</v>
      </c>
      <c r="C612" t="s">
        <v>11</v>
      </c>
      <c r="D612" t="s">
        <v>27</v>
      </c>
      <c r="E612" s="2" t="s">
        <v>247</v>
      </c>
      <c r="F612">
        <v>38</v>
      </c>
      <c r="G612" t="s">
        <v>20</v>
      </c>
      <c r="H612" s="2" t="s">
        <v>1321</v>
      </c>
      <c r="I612">
        <v>5</v>
      </c>
      <c r="J612" t="str">
        <f>IF(Table1[[#This Row],[Resolution_Date]]="NA","Unresolved","Resolved")</f>
        <v>Resolved</v>
      </c>
      <c r="K612">
        <f>IF(Table1[[#This Row],[Resolution_Date]]="NA"," ",Table1[[#This Row],[Resolution_Date]]-Table1[[#This Row],[Complaint_Date]])</f>
        <v>1</v>
      </c>
      <c r="L612" t="str">
        <f>TEXT(Table1[[#This Row],[Complaint_Date]],"MMM")</f>
        <v>Jan</v>
      </c>
      <c r="M612" t="str">
        <f>IF(Table1[[#This Row],[Resolution_Time_Hours]]&lt;=24,"Fast",IF(Table1[[#This Row],[Resolution_Time_Hours]]&lt;=72,"Medium","Slow"))</f>
        <v>Medium</v>
      </c>
    </row>
    <row r="613" spans="1:13" x14ac:dyDescent="0.3">
      <c r="A613" t="s">
        <v>1572</v>
      </c>
      <c r="B613" t="s">
        <v>1573</v>
      </c>
      <c r="C613" t="s">
        <v>11</v>
      </c>
      <c r="D613" t="s">
        <v>38</v>
      </c>
      <c r="E613" s="2" t="s">
        <v>1274</v>
      </c>
      <c r="F613">
        <v>45</v>
      </c>
      <c r="G613" t="s">
        <v>20</v>
      </c>
      <c r="H613" s="2" t="s">
        <v>718</v>
      </c>
      <c r="I613">
        <v>2</v>
      </c>
      <c r="J613" t="str">
        <f>IF(Table1[[#This Row],[Resolution_Date]]="NA","Unresolved","Resolved")</f>
        <v>Resolved</v>
      </c>
      <c r="K613">
        <f>IF(Table1[[#This Row],[Resolution_Date]]="NA"," ",Table1[[#This Row],[Resolution_Date]]-Table1[[#This Row],[Complaint_Date]])</f>
        <v>1</v>
      </c>
      <c r="L613" t="str">
        <f>TEXT(Table1[[#This Row],[Complaint_Date]],"MMM")</f>
        <v>Mar</v>
      </c>
      <c r="M613" t="str">
        <f>IF(Table1[[#This Row],[Resolution_Time_Hours]]&lt;=24,"Fast",IF(Table1[[#This Row],[Resolution_Time_Hours]]&lt;=72,"Medium","Slow"))</f>
        <v>Medium</v>
      </c>
    </row>
    <row r="614" spans="1:13" x14ac:dyDescent="0.3">
      <c r="A614" t="s">
        <v>1574</v>
      </c>
      <c r="B614" t="s">
        <v>1575</v>
      </c>
      <c r="C614" t="s">
        <v>34</v>
      </c>
      <c r="D614" t="s">
        <v>95</v>
      </c>
      <c r="E614" s="2" t="s">
        <v>1576</v>
      </c>
      <c r="F614">
        <v>90</v>
      </c>
      <c r="G614" t="s">
        <v>40</v>
      </c>
      <c r="H614" s="2" t="s">
        <v>2820</v>
      </c>
      <c r="J614" t="str">
        <f>IF(Table1[[#This Row],[Resolution_Date]]="NA","Unresolved","Resolved")</f>
        <v>Unresolved</v>
      </c>
      <c r="K614" t="str">
        <f>IF(Table1[[#This Row],[Resolution_Date]]="NA"," ",Table1[[#This Row],[Resolution_Date]]-Table1[[#This Row],[Complaint_Date]])</f>
        <v xml:space="preserve"> </v>
      </c>
      <c r="L614" t="str">
        <f>TEXT(Table1[[#This Row],[Complaint_Date]],"MMM")</f>
        <v>Mar</v>
      </c>
      <c r="M614" t="str">
        <f>IF(Table1[[#This Row],[Resolution_Time_Hours]]&lt;=24,"Fast",IF(Table1[[#This Row],[Resolution_Time_Hours]]&lt;=72,"Medium","Slow"))</f>
        <v>Slow</v>
      </c>
    </row>
    <row r="615" spans="1:13" x14ac:dyDescent="0.3">
      <c r="A615" t="s">
        <v>1577</v>
      </c>
      <c r="B615" t="s">
        <v>1578</v>
      </c>
      <c r="C615" t="s">
        <v>53</v>
      </c>
      <c r="D615" t="s">
        <v>95</v>
      </c>
      <c r="E615" s="2" t="s">
        <v>535</v>
      </c>
      <c r="F615">
        <v>11</v>
      </c>
      <c r="G615" t="s">
        <v>20</v>
      </c>
      <c r="H615" s="2" t="s">
        <v>535</v>
      </c>
      <c r="I615">
        <v>4</v>
      </c>
      <c r="J615" t="str">
        <f>IF(Table1[[#This Row],[Resolution_Date]]="NA","Unresolved","Resolved")</f>
        <v>Resolved</v>
      </c>
      <c r="K615">
        <f>IF(Table1[[#This Row],[Resolution_Date]]="NA"," ",Table1[[#This Row],[Resolution_Date]]-Table1[[#This Row],[Complaint_Date]])</f>
        <v>0</v>
      </c>
      <c r="L615" t="str">
        <f>TEXT(Table1[[#This Row],[Complaint_Date]],"MMM")</f>
        <v>Nov</v>
      </c>
      <c r="M615" t="str">
        <f>IF(Table1[[#This Row],[Resolution_Time_Hours]]&lt;=24,"Fast",IF(Table1[[#This Row],[Resolution_Time_Hours]]&lt;=72,"Medium","Slow"))</f>
        <v>Fast</v>
      </c>
    </row>
    <row r="616" spans="1:13" x14ac:dyDescent="0.3">
      <c r="A616" t="s">
        <v>1579</v>
      </c>
      <c r="B616" t="s">
        <v>1580</v>
      </c>
      <c r="C616" t="s">
        <v>70</v>
      </c>
      <c r="D616" t="s">
        <v>38</v>
      </c>
      <c r="E616" s="2" t="s">
        <v>546</v>
      </c>
      <c r="F616">
        <v>18</v>
      </c>
      <c r="G616" t="s">
        <v>40</v>
      </c>
      <c r="H616" s="2" t="s">
        <v>2820</v>
      </c>
      <c r="J616" t="str">
        <f>IF(Table1[[#This Row],[Resolution_Date]]="NA","Unresolved","Resolved")</f>
        <v>Unresolved</v>
      </c>
      <c r="K616" t="str">
        <f>IF(Table1[[#This Row],[Resolution_Date]]="NA"," ",Table1[[#This Row],[Resolution_Date]]-Table1[[#This Row],[Complaint_Date]])</f>
        <v xml:space="preserve"> </v>
      </c>
      <c r="L616" t="str">
        <f>TEXT(Table1[[#This Row],[Complaint_Date]],"MMM")</f>
        <v>Jan</v>
      </c>
      <c r="M616" t="str">
        <f>IF(Table1[[#This Row],[Resolution_Time_Hours]]&lt;=24,"Fast",IF(Table1[[#This Row],[Resolution_Time_Hours]]&lt;=72,"Medium","Slow"))</f>
        <v>Fast</v>
      </c>
    </row>
    <row r="617" spans="1:13" x14ac:dyDescent="0.3">
      <c r="A617" t="s">
        <v>1581</v>
      </c>
      <c r="B617" t="s">
        <v>1582</v>
      </c>
      <c r="C617" t="s">
        <v>48</v>
      </c>
      <c r="D617" t="s">
        <v>12</v>
      </c>
      <c r="E617" s="2" t="s">
        <v>535</v>
      </c>
      <c r="F617">
        <v>36</v>
      </c>
      <c r="G617" t="s">
        <v>20</v>
      </c>
      <c r="H617" s="2" t="s">
        <v>705</v>
      </c>
      <c r="I617">
        <v>2</v>
      </c>
      <c r="J617" t="str">
        <f>IF(Table1[[#This Row],[Resolution_Date]]="NA","Unresolved","Resolved")</f>
        <v>Resolved</v>
      </c>
      <c r="K617">
        <f>IF(Table1[[#This Row],[Resolution_Date]]="NA"," ",Table1[[#This Row],[Resolution_Date]]-Table1[[#This Row],[Complaint_Date]])</f>
        <v>1</v>
      </c>
      <c r="L617" t="str">
        <f>TEXT(Table1[[#This Row],[Complaint_Date]],"MMM")</f>
        <v>Nov</v>
      </c>
      <c r="M617" t="str">
        <f>IF(Table1[[#This Row],[Resolution_Time_Hours]]&lt;=24,"Fast",IF(Table1[[#This Row],[Resolution_Time_Hours]]&lt;=72,"Medium","Slow"))</f>
        <v>Medium</v>
      </c>
    </row>
    <row r="618" spans="1:13" x14ac:dyDescent="0.3">
      <c r="A618" t="s">
        <v>1583</v>
      </c>
      <c r="B618" t="s">
        <v>1584</v>
      </c>
      <c r="C618" t="s">
        <v>70</v>
      </c>
      <c r="D618" t="s">
        <v>12</v>
      </c>
      <c r="E618" s="2" t="s">
        <v>969</v>
      </c>
      <c r="F618">
        <v>14</v>
      </c>
      <c r="G618" t="s">
        <v>20</v>
      </c>
      <c r="H618" s="2" t="s">
        <v>969</v>
      </c>
      <c r="I618">
        <v>3</v>
      </c>
      <c r="J618" t="str">
        <f>IF(Table1[[#This Row],[Resolution_Date]]="NA","Unresolved","Resolved")</f>
        <v>Resolved</v>
      </c>
      <c r="K618">
        <f>IF(Table1[[#This Row],[Resolution_Date]]="NA"," ",Table1[[#This Row],[Resolution_Date]]-Table1[[#This Row],[Complaint_Date]])</f>
        <v>0</v>
      </c>
      <c r="L618" t="str">
        <f>TEXT(Table1[[#This Row],[Complaint_Date]],"MMM")</f>
        <v>Aug</v>
      </c>
      <c r="M618" t="str">
        <f>IF(Table1[[#This Row],[Resolution_Time_Hours]]&lt;=24,"Fast",IF(Table1[[#This Row],[Resolution_Time_Hours]]&lt;=72,"Medium","Slow"))</f>
        <v>Fast</v>
      </c>
    </row>
    <row r="619" spans="1:13" x14ac:dyDescent="0.3">
      <c r="A619" t="s">
        <v>1585</v>
      </c>
      <c r="B619" t="s">
        <v>1586</v>
      </c>
      <c r="C619" t="s">
        <v>110</v>
      </c>
      <c r="D619" t="s">
        <v>38</v>
      </c>
      <c r="E619" s="2" t="s">
        <v>1247</v>
      </c>
      <c r="F619">
        <v>18</v>
      </c>
      <c r="G619" t="s">
        <v>14</v>
      </c>
      <c r="H619" s="2" t="s">
        <v>2820</v>
      </c>
      <c r="J619" t="str">
        <f>IF(Table1[[#This Row],[Resolution_Date]]="NA","Unresolved","Resolved")</f>
        <v>Unresolved</v>
      </c>
      <c r="K619" t="str">
        <f>IF(Table1[[#This Row],[Resolution_Date]]="NA"," ",Table1[[#This Row],[Resolution_Date]]-Table1[[#This Row],[Complaint_Date]])</f>
        <v xml:space="preserve"> </v>
      </c>
      <c r="L619" t="str">
        <f>TEXT(Table1[[#This Row],[Complaint_Date]],"MMM")</f>
        <v>Jul</v>
      </c>
      <c r="M619" t="str">
        <f>IF(Table1[[#This Row],[Resolution_Time_Hours]]&lt;=24,"Fast",IF(Table1[[#This Row],[Resolution_Time_Hours]]&lt;=72,"Medium","Slow"))</f>
        <v>Fast</v>
      </c>
    </row>
    <row r="620" spans="1:13" x14ac:dyDescent="0.3">
      <c r="A620" t="s">
        <v>1587</v>
      </c>
      <c r="B620" t="s">
        <v>1588</v>
      </c>
      <c r="C620" t="s">
        <v>43</v>
      </c>
      <c r="D620" t="s">
        <v>12</v>
      </c>
      <c r="E620" s="2" t="s">
        <v>247</v>
      </c>
      <c r="F620">
        <v>65</v>
      </c>
      <c r="G620" t="s">
        <v>20</v>
      </c>
      <c r="H620" s="2" t="s">
        <v>770</v>
      </c>
      <c r="I620">
        <v>5</v>
      </c>
      <c r="J620" t="str">
        <f>IF(Table1[[#This Row],[Resolution_Date]]="NA","Unresolved","Resolved")</f>
        <v>Resolved</v>
      </c>
      <c r="K620">
        <f>IF(Table1[[#This Row],[Resolution_Date]]="NA"," ",Table1[[#This Row],[Resolution_Date]]-Table1[[#This Row],[Complaint_Date]])</f>
        <v>2</v>
      </c>
      <c r="L620" t="str">
        <f>TEXT(Table1[[#This Row],[Complaint_Date]],"MMM")</f>
        <v>Jan</v>
      </c>
      <c r="M620" t="str">
        <f>IF(Table1[[#This Row],[Resolution_Time_Hours]]&lt;=24,"Fast",IF(Table1[[#This Row],[Resolution_Time_Hours]]&lt;=72,"Medium","Slow"))</f>
        <v>Medium</v>
      </c>
    </row>
    <row r="621" spans="1:13" x14ac:dyDescent="0.3">
      <c r="A621" t="s">
        <v>1589</v>
      </c>
      <c r="B621" t="s">
        <v>1590</v>
      </c>
      <c r="C621" t="s">
        <v>34</v>
      </c>
      <c r="D621" t="s">
        <v>12</v>
      </c>
      <c r="E621" s="2" t="s">
        <v>493</v>
      </c>
      <c r="F621">
        <v>28</v>
      </c>
      <c r="G621" t="s">
        <v>20</v>
      </c>
      <c r="H621" s="2" t="s">
        <v>292</v>
      </c>
      <c r="I621">
        <v>2</v>
      </c>
      <c r="J621" t="str">
        <f>IF(Table1[[#This Row],[Resolution_Date]]="NA","Unresolved","Resolved")</f>
        <v>Resolved</v>
      </c>
      <c r="K621">
        <f>IF(Table1[[#This Row],[Resolution_Date]]="NA"," ",Table1[[#This Row],[Resolution_Date]]-Table1[[#This Row],[Complaint_Date]])</f>
        <v>1</v>
      </c>
      <c r="L621" t="str">
        <f>TEXT(Table1[[#This Row],[Complaint_Date]],"MMM")</f>
        <v>Oct</v>
      </c>
      <c r="M621" t="str">
        <f>IF(Table1[[#This Row],[Resolution_Time_Hours]]&lt;=24,"Fast",IF(Table1[[#This Row],[Resolution_Time_Hours]]&lt;=72,"Medium","Slow"))</f>
        <v>Medium</v>
      </c>
    </row>
    <row r="622" spans="1:13" x14ac:dyDescent="0.3">
      <c r="A622" t="s">
        <v>1591</v>
      </c>
      <c r="B622" t="s">
        <v>1592</v>
      </c>
      <c r="C622" t="s">
        <v>43</v>
      </c>
      <c r="D622" t="s">
        <v>95</v>
      </c>
      <c r="E622" s="2" t="s">
        <v>637</v>
      </c>
      <c r="F622">
        <v>48</v>
      </c>
      <c r="G622" t="s">
        <v>40</v>
      </c>
      <c r="H622" s="2" t="s">
        <v>2820</v>
      </c>
      <c r="J622" t="str">
        <f>IF(Table1[[#This Row],[Resolution_Date]]="NA","Unresolved","Resolved")</f>
        <v>Unresolved</v>
      </c>
      <c r="K622" t="str">
        <f>IF(Table1[[#This Row],[Resolution_Date]]="NA"," ",Table1[[#This Row],[Resolution_Date]]-Table1[[#This Row],[Complaint_Date]])</f>
        <v xml:space="preserve"> </v>
      </c>
      <c r="L622" t="str">
        <f>TEXT(Table1[[#This Row],[Complaint_Date]],"MMM")</f>
        <v>Feb</v>
      </c>
      <c r="M622" t="str">
        <f>IF(Table1[[#This Row],[Resolution_Time_Hours]]&lt;=24,"Fast",IF(Table1[[#This Row],[Resolution_Time_Hours]]&lt;=72,"Medium","Slow"))</f>
        <v>Medium</v>
      </c>
    </row>
    <row r="623" spans="1:13" x14ac:dyDescent="0.3">
      <c r="A623" t="s">
        <v>1593</v>
      </c>
      <c r="B623" t="s">
        <v>1594</v>
      </c>
      <c r="C623" t="s">
        <v>17</v>
      </c>
      <c r="D623" t="s">
        <v>38</v>
      </c>
      <c r="E623" s="2" t="s">
        <v>590</v>
      </c>
      <c r="F623">
        <v>16</v>
      </c>
      <c r="G623" t="s">
        <v>14</v>
      </c>
      <c r="H623" s="2" t="s">
        <v>2820</v>
      </c>
      <c r="J623" t="str">
        <f>IF(Table1[[#This Row],[Resolution_Date]]="NA","Unresolved","Resolved")</f>
        <v>Unresolved</v>
      </c>
      <c r="K623" t="str">
        <f>IF(Table1[[#This Row],[Resolution_Date]]="NA"," ",Table1[[#This Row],[Resolution_Date]]-Table1[[#This Row],[Complaint_Date]])</f>
        <v xml:space="preserve"> </v>
      </c>
      <c r="L623" t="str">
        <f>TEXT(Table1[[#This Row],[Complaint_Date]],"MMM")</f>
        <v>Aug</v>
      </c>
      <c r="M623" t="str">
        <f>IF(Table1[[#This Row],[Resolution_Time_Hours]]&lt;=24,"Fast",IF(Table1[[#This Row],[Resolution_Time_Hours]]&lt;=72,"Medium","Slow"))</f>
        <v>Fast</v>
      </c>
    </row>
    <row r="624" spans="1:13" x14ac:dyDescent="0.3">
      <c r="A624" t="s">
        <v>1595</v>
      </c>
      <c r="B624" t="s">
        <v>1596</v>
      </c>
      <c r="C624" t="s">
        <v>43</v>
      </c>
      <c r="D624" t="s">
        <v>12</v>
      </c>
      <c r="E624" s="2" t="s">
        <v>183</v>
      </c>
      <c r="F624">
        <v>43</v>
      </c>
      <c r="G624" t="s">
        <v>14</v>
      </c>
      <c r="H624" s="2" t="s">
        <v>2820</v>
      </c>
      <c r="J624" t="str">
        <f>IF(Table1[[#This Row],[Resolution_Date]]="NA","Unresolved","Resolved")</f>
        <v>Unresolved</v>
      </c>
      <c r="K624" t="str">
        <f>IF(Table1[[#This Row],[Resolution_Date]]="NA"," ",Table1[[#This Row],[Resolution_Date]]-Table1[[#This Row],[Complaint_Date]])</f>
        <v xml:space="preserve"> </v>
      </c>
      <c r="L624" t="str">
        <f>TEXT(Table1[[#This Row],[Complaint_Date]],"MMM")</f>
        <v>Feb</v>
      </c>
      <c r="M624" t="str">
        <f>IF(Table1[[#This Row],[Resolution_Time_Hours]]&lt;=24,"Fast",IF(Table1[[#This Row],[Resolution_Time_Hours]]&lt;=72,"Medium","Slow"))</f>
        <v>Medium</v>
      </c>
    </row>
    <row r="625" spans="1:13" x14ac:dyDescent="0.3">
      <c r="A625" t="s">
        <v>1597</v>
      </c>
      <c r="B625" t="s">
        <v>1598</v>
      </c>
      <c r="C625" t="s">
        <v>11</v>
      </c>
      <c r="D625" t="s">
        <v>12</v>
      </c>
      <c r="E625" s="2" t="s">
        <v>654</v>
      </c>
      <c r="F625">
        <v>38</v>
      </c>
      <c r="G625" t="s">
        <v>20</v>
      </c>
      <c r="H625" s="2" t="s">
        <v>889</v>
      </c>
      <c r="I625">
        <v>2</v>
      </c>
      <c r="J625" t="str">
        <f>IF(Table1[[#This Row],[Resolution_Date]]="NA","Unresolved","Resolved")</f>
        <v>Resolved</v>
      </c>
      <c r="K625">
        <f>IF(Table1[[#This Row],[Resolution_Date]]="NA"," ",Table1[[#This Row],[Resolution_Date]]-Table1[[#This Row],[Complaint_Date]])</f>
        <v>1</v>
      </c>
      <c r="L625" t="str">
        <f>TEXT(Table1[[#This Row],[Complaint_Date]],"MMM")</f>
        <v>Dec</v>
      </c>
      <c r="M625" t="str">
        <f>IF(Table1[[#This Row],[Resolution_Time_Hours]]&lt;=24,"Fast",IF(Table1[[#This Row],[Resolution_Time_Hours]]&lt;=72,"Medium","Slow"))</f>
        <v>Medium</v>
      </c>
    </row>
    <row r="626" spans="1:13" x14ac:dyDescent="0.3">
      <c r="A626" t="s">
        <v>1599</v>
      </c>
      <c r="B626" t="s">
        <v>1600</v>
      </c>
      <c r="C626" t="s">
        <v>48</v>
      </c>
      <c r="D626" t="s">
        <v>18</v>
      </c>
      <c r="E626" s="2" t="s">
        <v>136</v>
      </c>
      <c r="F626">
        <v>23</v>
      </c>
      <c r="G626" t="s">
        <v>20</v>
      </c>
      <c r="H626" s="2" t="s">
        <v>136</v>
      </c>
      <c r="I626">
        <v>3</v>
      </c>
      <c r="J626" t="str">
        <f>IF(Table1[[#This Row],[Resolution_Date]]="NA","Unresolved","Resolved")</f>
        <v>Resolved</v>
      </c>
      <c r="K626">
        <f>IF(Table1[[#This Row],[Resolution_Date]]="NA"," ",Table1[[#This Row],[Resolution_Date]]-Table1[[#This Row],[Complaint_Date]])</f>
        <v>0</v>
      </c>
      <c r="L626" t="str">
        <f>TEXT(Table1[[#This Row],[Complaint_Date]],"MMM")</f>
        <v>Mar</v>
      </c>
      <c r="M626" t="str">
        <f>IF(Table1[[#This Row],[Resolution_Time_Hours]]&lt;=24,"Fast",IF(Table1[[#This Row],[Resolution_Time_Hours]]&lt;=72,"Medium","Slow"))</f>
        <v>Fast</v>
      </c>
    </row>
    <row r="627" spans="1:13" x14ac:dyDescent="0.3">
      <c r="A627" t="s">
        <v>1601</v>
      </c>
      <c r="B627" t="s">
        <v>1602</v>
      </c>
      <c r="C627" t="s">
        <v>34</v>
      </c>
      <c r="D627" t="s">
        <v>95</v>
      </c>
      <c r="E627" s="2" t="s">
        <v>373</v>
      </c>
      <c r="F627">
        <v>55</v>
      </c>
      <c r="G627" t="s">
        <v>20</v>
      </c>
      <c r="H627" s="2" t="s">
        <v>333</v>
      </c>
      <c r="I627">
        <v>1</v>
      </c>
      <c r="J627" t="str">
        <f>IF(Table1[[#This Row],[Resolution_Date]]="NA","Unresolved","Resolved")</f>
        <v>Resolved</v>
      </c>
      <c r="K627">
        <f>IF(Table1[[#This Row],[Resolution_Date]]="NA"," ",Table1[[#This Row],[Resolution_Date]]-Table1[[#This Row],[Complaint_Date]])</f>
        <v>2</v>
      </c>
      <c r="L627" t="str">
        <f>TEXT(Table1[[#This Row],[Complaint_Date]],"MMM")</f>
        <v>Sep</v>
      </c>
      <c r="M627" t="str">
        <f>IF(Table1[[#This Row],[Resolution_Time_Hours]]&lt;=24,"Fast",IF(Table1[[#This Row],[Resolution_Time_Hours]]&lt;=72,"Medium","Slow"))</f>
        <v>Medium</v>
      </c>
    </row>
    <row r="628" spans="1:13" x14ac:dyDescent="0.3">
      <c r="A628" t="s">
        <v>1603</v>
      </c>
      <c r="B628" t="s">
        <v>1604</v>
      </c>
      <c r="C628" t="s">
        <v>70</v>
      </c>
      <c r="D628" t="s">
        <v>12</v>
      </c>
      <c r="E628" s="2" t="s">
        <v>49</v>
      </c>
      <c r="F628">
        <v>22</v>
      </c>
      <c r="G628" t="s">
        <v>40</v>
      </c>
      <c r="H628" s="2" t="s">
        <v>2820</v>
      </c>
      <c r="J628" t="str">
        <f>IF(Table1[[#This Row],[Resolution_Date]]="NA","Unresolved","Resolved")</f>
        <v>Unresolved</v>
      </c>
      <c r="K628" t="str">
        <f>IF(Table1[[#This Row],[Resolution_Date]]="NA"," ",Table1[[#This Row],[Resolution_Date]]-Table1[[#This Row],[Complaint_Date]])</f>
        <v xml:space="preserve"> </v>
      </c>
      <c r="L628" t="str">
        <f>TEXT(Table1[[#This Row],[Complaint_Date]],"MMM")</f>
        <v>Jul</v>
      </c>
      <c r="M628" t="str">
        <f>IF(Table1[[#This Row],[Resolution_Time_Hours]]&lt;=24,"Fast",IF(Table1[[#This Row],[Resolution_Time_Hours]]&lt;=72,"Medium","Slow"))</f>
        <v>Fast</v>
      </c>
    </row>
    <row r="629" spans="1:13" x14ac:dyDescent="0.3">
      <c r="A629" t="s">
        <v>1605</v>
      </c>
      <c r="B629" t="s">
        <v>1606</v>
      </c>
      <c r="C629" t="s">
        <v>43</v>
      </c>
      <c r="D629" t="s">
        <v>18</v>
      </c>
      <c r="E629" s="2" t="s">
        <v>998</v>
      </c>
      <c r="F629">
        <v>31</v>
      </c>
      <c r="G629" t="s">
        <v>20</v>
      </c>
      <c r="H629" s="2" t="s">
        <v>267</v>
      </c>
      <c r="I629">
        <v>2</v>
      </c>
      <c r="J629" t="str">
        <f>IF(Table1[[#This Row],[Resolution_Date]]="NA","Unresolved","Resolved")</f>
        <v>Resolved</v>
      </c>
      <c r="K629">
        <f>IF(Table1[[#This Row],[Resolution_Date]]="NA"," ",Table1[[#This Row],[Resolution_Date]]-Table1[[#This Row],[Complaint_Date]])</f>
        <v>1</v>
      </c>
      <c r="L629" t="str">
        <f>TEXT(Table1[[#This Row],[Complaint_Date]],"MMM")</f>
        <v>Jan</v>
      </c>
      <c r="M629" t="str">
        <f>IF(Table1[[#This Row],[Resolution_Time_Hours]]&lt;=24,"Fast",IF(Table1[[#This Row],[Resolution_Time_Hours]]&lt;=72,"Medium","Slow"))</f>
        <v>Medium</v>
      </c>
    </row>
    <row r="630" spans="1:13" x14ac:dyDescent="0.3">
      <c r="A630" t="s">
        <v>1607</v>
      </c>
      <c r="B630" t="s">
        <v>1608</v>
      </c>
      <c r="C630" t="s">
        <v>70</v>
      </c>
      <c r="D630" t="s">
        <v>95</v>
      </c>
      <c r="E630" s="2" t="s">
        <v>529</v>
      </c>
      <c r="F630">
        <v>23</v>
      </c>
      <c r="G630" t="s">
        <v>14</v>
      </c>
      <c r="H630" s="2" t="s">
        <v>2820</v>
      </c>
      <c r="J630" t="str">
        <f>IF(Table1[[#This Row],[Resolution_Date]]="NA","Unresolved","Resolved")</f>
        <v>Unresolved</v>
      </c>
      <c r="K630" t="str">
        <f>IF(Table1[[#This Row],[Resolution_Date]]="NA"," ",Table1[[#This Row],[Resolution_Date]]-Table1[[#This Row],[Complaint_Date]])</f>
        <v xml:space="preserve"> </v>
      </c>
      <c r="L630" t="str">
        <f>TEXT(Table1[[#This Row],[Complaint_Date]],"MMM")</f>
        <v>Dec</v>
      </c>
      <c r="M630" t="str">
        <f>IF(Table1[[#This Row],[Resolution_Time_Hours]]&lt;=24,"Fast",IF(Table1[[#This Row],[Resolution_Time_Hours]]&lt;=72,"Medium","Slow"))</f>
        <v>Fast</v>
      </c>
    </row>
    <row r="631" spans="1:13" x14ac:dyDescent="0.3">
      <c r="A631" t="s">
        <v>1609</v>
      </c>
      <c r="B631" t="s">
        <v>1610</v>
      </c>
      <c r="C631" t="s">
        <v>34</v>
      </c>
      <c r="D631" t="s">
        <v>12</v>
      </c>
      <c r="E631" s="2" t="s">
        <v>398</v>
      </c>
      <c r="F631">
        <v>36</v>
      </c>
      <c r="G631" t="s">
        <v>14</v>
      </c>
      <c r="H631" s="2" t="s">
        <v>2820</v>
      </c>
      <c r="J631" t="str">
        <f>IF(Table1[[#This Row],[Resolution_Date]]="NA","Unresolved","Resolved")</f>
        <v>Unresolved</v>
      </c>
      <c r="K631" t="str">
        <f>IF(Table1[[#This Row],[Resolution_Date]]="NA"," ",Table1[[#This Row],[Resolution_Date]]-Table1[[#This Row],[Complaint_Date]])</f>
        <v xml:space="preserve"> </v>
      </c>
      <c r="L631" t="str">
        <f>TEXT(Table1[[#This Row],[Complaint_Date]],"MMM")</f>
        <v>Oct</v>
      </c>
      <c r="M631" t="str">
        <f>IF(Table1[[#This Row],[Resolution_Time_Hours]]&lt;=24,"Fast",IF(Table1[[#This Row],[Resolution_Time_Hours]]&lt;=72,"Medium","Slow"))</f>
        <v>Medium</v>
      </c>
    </row>
    <row r="632" spans="1:13" x14ac:dyDescent="0.3">
      <c r="A632" t="s">
        <v>1611</v>
      </c>
      <c r="B632" t="s">
        <v>1612</v>
      </c>
      <c r="C632" t="s">
        <v>53</v>
      </c>
      <c r="D632" t="s">
        <v>38</v>
      </c>
      <c r="E632" s="2" t="s">
        <v>1613</v>
      </c>
      <c r="F632">
        <v>10</v>
      </c>
      <c r="G632" t="s">
        <v>14</v>
      </c>
      <c r="H632" s="2" t="s">
        <v>2820</v>
      </c>
      <c r="J632" t="str">
        <f>IF(Table1[[#This Row],[Resolution_Date]]="NA","Unresolved","Resolved")</f>
        <v>Unresolved</v>
      </c>
      <c r="K632" t="str">
        <f>IF(Table1[[#This Row],[Resolution_Date]]="NA"," ",Table1[[#This Row],[Resolution_Date]]-Table1[[#This Row],[Complaint_Date]])</f>
        <v xml:space="preserve"> </v>
      </c>
      <c r="L632" t="str">
        <f>TEXT(Table1[[#This Row],[Complaint_Date]],"MMM")</f>
        <v>Dec</v>
      </c>
      <c r="M632" t="str">
        <f>IF(Table1[[#This Row],[Resolution_Time_Hours]]&lt;=24,"Fast",IF(Table1[[#This Row],[Resolution_Time_Hours]]&lt;=72,"Medium","Slow"))</f>
        <v>Fast</v>
      </c>
    </row>
    <row r="633" spans="1:13" x14ac:dyDescent="0.3">
      <c r="A633" t="s">
        <v>1614</v>
      </c>
      <c r="B633" t="s">
        <v>1615</v>
      </c>
      <c r="C633" t="s">
        <v>110</v>
      </c>
      <c r="D633" t="s">
        <v>12</v>
      </c>
      <c r="E633" s="2" t="s">
        <v>419</v>
      </c>
      <c r="F633">
        <v>18</v>
      </c>
      <c r="G633" t="s">
        <v>20</v>
      </c>
      <c r="H633" s="2" t="s">
        <v>419</v>
      </c>
      <c r="I633">
        <v>3</v>
      </c>
      <c r="J633" t="str">
        <f>IF(Table1[[#This Row],[Resolution_Date]]="NA","Unresolved","Resolved")</f>
        <v>Resolved</v>
      </c>
      <c r="K633">
        <f>IF(Table1[[#This Row],[Resolution_Date]]="NA"," ",Table1[[#This Row],[Resolution_Date]]-Table1[[#This Row],[Complaint_Date]])</f>
        <v>0</v>
      </c>
      <c r="L633" t="str">
        <f>TEXT(Table1[[#This Row],[Complaint_Date]],"MMM")</f>
        <v>Mar</v>
      </c>
      <c r="M633" t="str">
        <f>IF(Table1[[#This Row],[Resolution_Time_Hours]]&lt;=24,"Fast",IF(Table1[[#This Row],[Resolution_Time_Hours]]&lt;=72,"Medium","Slow"))</f>
        <v>Fast</v>
      </c>
    </row>
    <row r="634" spans="1:13" x14ac:dyDescent="0.3">
      <c r="A634" t="s">
        <v>1616</v>
      </c>
      <c r="B634" t="s">
        <v>1617</v>
      </c>
      <c r="C634" t="s">
        <v>43</v>
      </c>
      <c r="D634" t="s">
        <v>18</v>
      </c>
      <c r="E634" s="2" t="s">
        <v>788</v>
      </c>
      <c r="F634">
        <v>11</v>
      </c>
      <c r="G634" t="s">
        <v>20</v>
      </c>
      <c r="H634" s="2" t="s">
        <v>788</v>
      </c>
      <c r="I634">
        <v>4</v>
      </c>
      <c r="J634" t="str">
        <f>IF(Table1[[#This Row],[Resolution_Date]]="NA","Unresolved","Resolved")</f>
        <v>Resolved</v>
      </c>
      <c r="K634">
        <f>IF(Table1[[#This Row],[Resolution_Date]]="NA"," ",Table1[[#This Row],[Resolution_Date]]-Table1[[#This Row],[Complaint_Date]])</f>
        <v>0</v>
      </c>
      <c r="L634" t="str">
        <f>TEXT(Table1[[#This Row],[Complaint_Date]],"MMM")</f>
        <v>Jan</v>
      </c>
      <c r="M634" t="str">
        <f>IF(Table1[[#This Row],[Resolution_Time_Hours]]&lt;=24,"Fast",IF(Table1[[#This Row],[Resolution_Time_Hours]]&lt;=72,"Medium","Slow"))</f>
        <v>Fast</v>
      </c>
    </row>
    <row r="635" spans="1:13" x14ac:dyDescent="0.3">
      <c r="A635" t="s">
        <v>1618</v>
      </c>
      <c r="B635" t="s">
        <v>1619</v>
      </c>
      <c r="C635" t="s">
        <v>53</v>
      </c>
      <c r="D635" t="s">
        <v>95</v>
      </c>
      <c r="E635" s="2" t="s">
        <v>1620</v>
      </c>
      <c r="F635">
        <v>10</v>
      </c>
      <c r="G635" t="s">
        <v>20</v>
      </c>
      <c r="H635" s="2" t="s">
        <v>1620</v>
      </c>
      <c r="I635">
        <v>4</v>
      </c>
      <c r="J635" t="str">
        <f>IF(Table1[[#This Row],[Resolution_Date]]="NA","Unresolved","Resolved")</f>
        <v>Resolved</v>
      </c>
      <c r="K635">
        <f>IF(Table1[[#This Row],[Resolution_Date]]="NA"," ",Table1[[#This Row],[Resolution_Date]]-Table1[[#This Row],[Complaint_Date]])</f>
        <v>0</v>
      </c>
      <c r="L635" t="str">
        <f>TEXT(Table1[[#This Row],[Complaint_Date]],"MMM")</f>
        <v>Jan</v>
      </c>
      <c r="M635" t="str">
        <f>IF(Table1[[#This Row],[Resolution_Time_Hours]]&lt;=24,"Fast",IF(Table1[[#This Row],[Resolution_Time_Hours]]&lt;=72,"Medium","Slow"))</f>
        <v>Fast</v>
      </c>
    </row>
    <row r="636" spans="1:13" x14ac:dyDescent="0.3">
      <c r="A636" t="s">
        <v>1621</v>
      </c>
      <c r="B636" t="s">
        <v>1622</v>
      </c>
      <c r="C636" t="s">
        <v>70</v>
      </c>
      <c r="D636" t="s">
        <v>18</v>
      </c>
      <c r="E636" s="2" t="s">
        <v>440</v>
      </c>
      <c r="F636">
        <v>17</v>
      </c>
      <c r="G636" t="s">
        <v>20</v>
      </c>
      <c r="H636" s="2" t="s">
        <v>440</v>
      </c>
      <c r="I636">
        <v>3</v>
      </c>
      <c r="J636" t="str">
        <f>IF(Table1[[#This Row],[Resolution_Date]]="NA","Unresolved","Resolved")</f>
        <v>Resolved</v>
      </c>
      <c r="K636">
        <f>IF(Table1[[#This Row],[Resolution_Date]]="NA"," ",Table1[[#This Row],[Resolution_Date]]-Table1[[#This Row],[Complaint_Date]])</f>
        <v>0</v>
      </c>
      <c r="L636" t="str">
        <f>TEXT(Table1[[#This Row],[Complaint_Date]],"MMM")</f>
        <v>Sep</v>
      </c>
      <c r="M636" t="str">
        <f>IF(Table1[[#This Row],[Resolution_Time_Hours]]&lt;=24,"Fast",IF(Table1[[#This Row],[Resolution_Time_Hours]]&lt;=72,"Medium","Slow"))</f>
        <v>Fast</v>
      </c>
    </row>
    <row r="637" spans="1:13" x14ac:dyDescent="0.3">
      <c r="A637" t="s">
        <v>1623</v>
      </c>
      <c r="B637" t="s">
        <v>1624</v>
      </c>
      <c r="C637" t="s">
        <v>11</v>
      </c>
      <c r="D637" t="s">
        <v>12</v>
      </c>
      <c r="E637" s="2" t="s">
        <v>355</v>
      </c>
      <c r="F637">
        <v>25</v>
      </c>
      <c r="G637" t="s">
        <v>20</v>
      </c>
      <c r="H637" s="2" t="s">
        <v>858</v>
      </c>
      <c r="I637">
        <v>2</v>
      </c>
      <c r="J637" t="str">
        <f>IF(Table1[[#This Row],[Resolution_Date]]="NA","Unresolved","Resolved")</f>
        <v>Resolved</v>
      </c>
      <c r="K637">
        <f>IF(Table1[[#This Row],[Resolution_Date]]="NA"," ",Table1[[#This Row],[Resolution_Date]]-Table1[[#This Row],[Complaint_Date]])</f>
        <v>1</v>
      </c>
      <c r="L637" t="str">
        <f>TEXT(Table1[[#This Row],[Complaint_Date]],"MMM")</f>
        <v>May</v>
      </c>
      <c r="M637" t="str">
        <f>IF(Table1[[#This Row],[Resolution_Time_Hours]]&lt;=24,"Fast",IF(Table1[[#This Row],[Resolution_Time_Hours]]&lt;=72,"Medium","Slow"))</f>
        <v>Medium</v>
      </c>
    </row>
    <row r="638" spans="1:13" x14ac:dyDescent="0.3">
      <c r="A638" t="s">
        <v>1625</v>
      </c>
      <c r="B638" t="s">
        <v>1626</v>
      </c>
      <c r="C638" t="s">
        <v>34</v>
      </c>
      <c r="D638" t="s">
        <v>27</v>
      </c>
      <c r="E638" s="2" t="s">
        <v>788</v>
      </c>
      <c r="F638">
        <v>43</v>
      </c>
      <c r="G638" t="s">
        <v>20</v>
      </c>
      <c r="H638" s="2" t="s">
        <v>546</v>
      </c>
      <c r="I638">
        <v>5</v>
      </c>
      <c r="J638" t="str">
        <f>IF(Table1[[#This Row],[Resolution_Date]]="NA","Unresolved","Resolved")</f>
        <v>Resolved</v>
      </c>
      <c r="K638">
        <f>IF(Table1[[#This Row],[Resolution_Date]]="NA"," ",Table1[[#This Row],[Resolution_Date]]-Table1[[#This Row],[Complaint_Date]])</f>
        <v>1</v>
      </c>
      <c r="L638" t="str">
        <f>TEXT(Table1[[#This Row],[Complaint_Date]],"MMM")</f>
        <v>Jan</v>
      </c>
      <c r="M638" t="str">
        <f>IF(Table1[[#This Row],[Resolution_Time_Hours]]&lt;=24,"Fast",IF(Table1[[#This Row],[Resolution_Time_Hours]]&lt;=72,"Medium","Slow"))</f>
        <v>Medium</v>
      </c>
    </row>
    <row r="639" spans="1:13" x14ac:dyDescent="0.3">
      <c r="A639" t="s">
        <v>1627</v>
      </c>
      <c r="B639" t="s">
        <v>1628</v>
      </c>
      <c r="C639" t="s">
        <v>110</v>
      </c>
      <c r="D639" t="s">
        <v>12</v>
      </c>
      <c r="E639" s="2" t="s">
        <v>71</v>
      </c>
      <c r="F639">
        <v>18</v>
      </c>
      <c r="G639" t="s">
        <v>40</v>
      </c>
      <c r="H639" s="2" t="s">
        <v>2820</v>
      </c>
      <c r="J639" t="str">
        <f>IF(Table1[[#This Row],[Resolution_Date]]="NA","Unresolved","Resolved")</f>
        <v>Unresolved</v>
      </c>
      <c r="K639" t="str">
        <f>IF(Table1[[#This Row],[Resolution_Date]]="NA"," ",Table1[[#This Row],[Resolution_Date]]-Table1[[#This Row],[Complaint_Date]])</f>
        <v xml:space="preserve"> </v>
      </c>
      <c r="L639" t="str">
        <f>TEXT(Table1[[#This Row],[Complaint_Date]],"MMM")</f>
        <v>Jul</v>
      </c>
      <c r="M639" t="str">
        <f>IF(Table1[[#This Row],[Resolution_Time_Hours]]&lt;=24,"Fast",IF(Table1[[#This Row],[Resolution_Time_Hours]]&lt;=72,"Medium","Slow"))</f>
        <v>Fast</v>
      </c>
    </row>
    <row r="640" spans="1:13" x14ac:dyDescent="0.3">
      <c r="A640" t="s">
        <v>1629</v>
      </c>
      <c r="B640" t="s">
        <v>1630</v>
      </c>
      <c r="C640" t="s">
        <v>48</v>
      </c>
      <c r="D640" t="s">
        <v>38</v>
      </c>
      <c r="E640" s="2" t="s">
        <v>437</v>
      </c>
      <c r="F640">
        <v>47</v>
      </c>
      <c r="G640" t="s">
        <v>40</v>
      </c>
      <c r="H640" s="2" t="s">
        <v>2820</v>
      </c>
      <c r="J640" t="str">
        <f>IF(Table1[[#This Row],[Resolution_Date]]="NA","Unresolved","Resolved")</f>
        <v>Unresolved</v>
      </c>
      <c r="K640" t="str">
        <f>IF(Table1[[#This Row],[Resolution_Date]]="NA"," ",Table1[[#This Row],[Resolution_Date]]-Table1[[#This Row],[Complaint_Date]])</f>
        <v xml:space="preserve"> </v>
      </c>
      <c r="L640" t="str">
        <f>TEXT(Table1[[#This Row],[Complaint_Date]],"MMM")</f>
        <v>Oct</v>
      </c>
      <c r="M640" t="str">
        <f>IF(Table1[[#This Row],[Resolution_Time_Hours]]&lt;=24,"Fast",IF(Table1[[#This Row],[Resolution_Time_Hours]]&lt;=72,"Medium","Slow"))</f>
        <v>Medium</v>
      </c>
    </row>
    <row r="641" spans="1:13" x14ac:dyDescent="0.3">
      <c r="A641" t="s">
        <v>1631</v>
      </c>
      <c r="B641" t="s">
        <v>1632</v>
      </c>
      <c r="C641" t="s">
        <v>11</v>
      </c>
      <c r="D641" t="s">
        <v>27</v>
      </c>
      <c r="E641" s="2" t="s">
        <v>143</v>
      </c>
      <c r="F641">
        <v>32</v>
      </c>
      <c r="G641" t="s">
        <v>20</v>
      </c>
      <c r="H641" s="2" t="s">
        <v>562</v>
      </c>
      <c r="I641">
        <v>2</v>
      </c>
      <c r="J641" t="str">
        <f>IF(Table1[[#This Row],[Resolution_Date]]="NA","Unresolved","Resolved")</f>
        <v>Resolved</v>
      </c>
      <c r="K641">
        <f>IF(Table1[[#This Row],[Resolution_Date]]="NA"," ",Table1[[#This Row],[Resolution_Date]]-Table1[[#This Row],[Complaint_Date]])</f>
        <v>1</v>
      </c>
      <c r="L641" t="str">
        <f>TEXT(Table1[[#This Row],[Complaint_Date]],"MMM")</f>
        <v>Jan</v>
      </c>
      <c r="M641" t="str">
        <f>IF(Table1[[#This Row],[Resolution_Time_Hours]]&lt;=24,"Fast",IF(Table1[[#This Row],[Resolution_Time_Hours]]&lt;=72,"Medium","Slow"))</f>
        <v>Medium</v>
      </c>
    </row>
    <row r="642" spans="1:13" x14ac:dyDescent="0.3">
      <c r="A642" t="s">
        <v>1633</v>
      </c>
      <c r="B642" t="s">
        <v>1634</v>
      </c>
      <c r="C642" t="s">
        <v>48</v>
      </c>
      <c r="D642" t="s">
        <v>38</v>
      </c>
      <c r="E642" s="2" t="s">
        <v>632</v>
      </c>
      <c r="F642">
        <v>20</v>
      </c>
      <c r="G642" t="s">
        <v>14</v>
      </c>
      <c r="H642" s="2" t="s">
        <v>2820</v>
      </c>
      <c r="J642" t="str">
        <f>IF(Table1[[#This Row],[Resolution_Date]]="NA","Unresolved","Resolved")</f>
        <v>Unresolved</v>
      </c>
      <c r="K642" t="str">
        <f>IF(Table1[[#This Row],[Resolution_Date]]="NA"," ",Table1[[#This Row],[Resolution_Date]]-Table1[[#This Row],[Complaint_Date]])</f>
        <v xml:space="preserve"> </v>
      </c>
      <c r="L642" t="str">
        <f>TEXT(Table1[[#This Row],[Complaint_Date]],"MMM")</f>
        <v>Mar</v>
      </c>
      <c r="M642" t="str">
        <f>IF(Table1[[#This Row],[Resolution_Time_Hours]]&lt;=24,"Fast",IF(Table1[[#This Row],[Resolution_Time_Hours]]&lt;=72,"Medium","Slow"))</f>
        <v>Fast</v>
      </c>
    </row>
    <row r="643" spans="1:13" x14ac:dyDescent="0.3">
      <c r="A643" t="s">
        <v>1635</v>
      </c>
      <c r="B643" t="s">
        <v>1636</v>
      </c>
      <c r="C643" t="s">
        <v>48</v>
      </c>
      <c r="D643" t="s">
        <v>18</v>
      </c>
      <c r="E643" s="2" t="s">
        <v>1637</v>
      </c>
      <c r="F643">
        <v>38</v>
      </c>
      <c r="G643" t="s">
        <v>20</v>
      </c>
      <c r="H643" s="2" t="s">
        <v>244</v>
      </c>
      <c r="I643">
        <v>2</v>
      </c>
      <c r="J643" t="str">
        <f>IF(Table1[[#This Row],[Resolution_Date]]="NA","Unresolved","Resolved")</f>
        <v>Resolved</v>
      </c>
      <c r="K643">
        <f>IF(Table1[[#This Row],[Resolution_Date]]="NA"," ",Table1[[#This Row],[Resolution_Date]]-Table1[[#This Row],[Complaint_Date]])</f>
        <v>1</v>
      </c>
      <c r="L643" t="str">
        <f>TEXT(Table1[[#This Row],[Complaint_Date]],"MMM")</f>
        <v>May</v>
      </c>
      <c r="M643" t="str">
        <f>IF(Table1[[#This Row],[Resolution_Time_Hours]]&lt;=24,"Fast",IF(Table1[[#This Row],[Resolution_Time_Hours]]&lt;=72,"Medium","Slow"))</f>
        <v>Medium</v>
      </c>
    </row>
    <row r="644" spans="1:13" x14ac:dyDescent="0.3">
      <c r="A644" t="s">
        <v>1638</v>
      </c>
      <c r="B644" t="s">
        <v>1639</v>
      </c>
      <c r="C644" t="s">
        <v>70</v>
      </c>
      <c r="D644" t="s">
        <v>95</v>
      </c>
      <c r="E644" s="2" t="s">
        <v>1240</v>
      </c>
      <c r="F644">
        <v>16</v>
      </c>
      <c r="G644" t="s">
        <v>14</v>
      </c>
      <c r="H644" s="2" t="s">
        <v>2820</v>
      </c>
      <c r="J644" t="str">
        <f>IF(Table1[[#This Row],[Resolution_Date]]="NA","Unresolved","Resolved")</f>
        <v>Unresolved</v>
      </c>
      <c r="K644" t="str">
        <f>IF(Table1[[#This Row],[Resolution_Date]]="NA"," ",Table1[[#This Row],[Resolution_Date]]-Table1[[#This Row],[Complaint_Date]])</f>
        <v xml:space="preserve"> </v>
      </c>
      <c r="L644" t="str">
        <f>TEXT(Table1[[#This Row],[Complaint_Date]],"MMM")</f>
        <v>Jan</v>
      </c>
      <c r="M644" t="str">
        <f>IF(Table1[[#This Row],[Resolution_Time_Hours]]&lt;=24,"Fast",IF(Table1[[#This Row],[Resolution_Time_Hours]]&lt;=72,"Medium","Slow"))</f>
        <v>Fast</v>
      </c>
    </row>
    <row r="645" spans="1:13" x14ac:dyDescent="0.3">
      <c r="A645" t="s">
        <v>1640</v>
      </c>
      <c r="B645" t="s">
        <v>1641</v>
      </c>
      <c r="C645" t="s">
        <v>53</v>
      </c>
      <c r="D645" t="s">
        <v>18</v>
      </c>
      <c r="E645" s="2" t="s">
        <v>211</v>
      </c>
      <c r="F645">
        <v>8</v>
      </c>
      <c r="G645" t="s">
        <v>20</v>
      </c>
      <c r="H645" s="2" t="s">
        <v>211</v>
      </c>
      <c r="I645">
        <v>4</v>
      </c>
      <c r="J645" t="str">
        <f>IF(Table1[[#This Row],[Resolution_Date]]="NA","Unresolved","Resolved")</f>
        <v>Resolved</v>
      </c>
      <c r="K645">
        <f>IF(Table1[[#This Row],[Resolution_Date]]="NA"," ",Table1[[#This Row],[Resolution_Date]]-Table1[[#This Row],[Complaint_Date]])</f>
        <v>0</v>
      </c>
      <c r="L645" t="str">
        <f>TEXT(Table1[[#This Row],[Complaint_Date]],"MMM")</f>
        <v>Dec</v>
      </c>
      <c r="M645" t="str">
        <f>IF(Table1[[#This Row],[Resolution_Time_Hours]]&lt;=24,"Fast",IF(Table1[[#This Row],[Resolution_Time_Hours]]&lt;=72,"Medium","Slow"))</f>
        <v>Fast</v>
      </c>
    </row>
    <row r="646" spans="1:13" x14ac:dyDescent="0.3">
      <c r="A646" t="s">
        <v>1642</v>
      </c>
      <c r="B646" t="s">
        <v>1643</v>
      </c>
      <c r="C646" t="s">
        <v>48</v>
      </c>
      <c r="D646" t="s">
        <v>18</v>
      </c>
      <c r="E646" s="2" t="s">
        <v>233</v>
      </c>
      <c r="F646">
        <v>33</v>
      </c>
      <c r="G646" t="s">
        <v>20</v>
      </c>
      <c r="H646" s="2" t="s">
        <v>1284</v>
      </c>
      <c r="I646">
        <v>2</v>
      </c>
      <c r="J646" t="str">
        <f>IF(Table1[[#This Row],[Resolution_Date]]="NA","Unresolved","Resolved")</f>
        <v>Resolved</v>
      </c>
      <c r="K646">
        <f>IF(Table1[[#This Row],[Resolution_Date]]="NA"," ",Table1[[#This Row],[Resolution_Date]]-Table1[[#This Row],[Complaint_Date]])</f>
        <v>1</v>
      </c>
      <c r="L646" t="str">
        <f>TEXT(Table1[[#This Row],[Complaint_Date]],"MMM")</f>
        <v>Apr</v>
      </c>
      <c r="M646" t="str">
        <f>IF(Table1[[#This Row],[Resolution_Time_Hours]]&lt;=24,"Fast",IF(Table1[[#This Row],[Resolution_Time_Hours]]&lt;=72,"Medium","Slow"))</f>
        <v>Medium</v>
      </c>
    </row>
    <row r="647" spans="1:13" x14ac:dyDescent="0.3">
      <c r="A647" t="s">
        <v>1644</v>
      </c>
      <c r="B647" t="s">
        <v>1645</v>
      </c>
      <c r="C647" t="s">
        <v>70</v>
      </c>
      <c r="D647" t="s">
        <v>27</v>
      </c>
      <c r="E647" s="2" t="s">
        <v>1089</v>
      </c>
      <c r="F647">
        <v>24</v>
      </c>
      <c r="G647" t="s">
        <v>14</v>
      </c>
      <c r="H647" s="2" t="s">
        <v>2820</v>
      </c>
      <c r="J647" t="str">
        <f>IF(Table1[[#This Row],[Resolution_Date]]="NA","Unresolved","Resolved")</f>
        <v>Unresolved</v>
      </c>
      <c r="K647" t="str">
        <f>IF(Table1[[#This Row],[Resolution_Date]]="NA"," ",Table1[[#This Row],[Resolution_Date]]-Table1[[#This Row],[Complaint_Date]])</f>
        <v xml:space="preserve"> </v>
      </c>
      <c r="L647" t="str">
        <f>TEXT(Table1[[#This Row],[Complaint_Date]],"MMM")</f>
        <v>Apr</v>
      </c>
      <c r="M647" t="str">
        <f>IF(Table1[[#This Row],[Resolution_Time_Hours]]&lt;=24,"Fast",IF(Table1[[#This Row],[Resolution_Time_Hours]]&lt;=72,"Medium","Slow"))</f>
        <v>Fast</v>
      </c>
    </row>
    <row r="648" spans="1:13" x14ac:dyDescent="0.3">
      <c r="A648" t="s">
        <v>1646</v>
      </c>
      <c r="B648" t="s">
        <v>1647</v>
      </c>
      <c r="C648" t="s">
        <v>43</v>
      </c>
      <c r="D648" t="s">
        <v>18</v>
      </c>
      <c r="E648" s="2" t="s">
        <v>170</v>
      </c>
      <c r="F648">
        <v>24</v>
      </c>
      <c r="G648" t="s">
        <v>14</v>
      </c>
      <c r="H648" s="2" t="s">
        <v>2820</v>
      </c>
      <c r="J648" t="str">
        <f>IF(Table1[[#This Row],[Resolution_Date]]="NA","Unresolved","Resolved")</f>
        <v>Unresolved</v>
      </c>
      <c r="K648" t="str">
        <f>IF(Table1[[#This Row],[Resolution_Date]]="NA"," ",Table1[[#This Row],[Resolution_Date]]-Table1[[#This Row],[Complaint_Date]])</f>
        <v xml:space="preserve"> </v>
      </c>
      <c r="L648" t="str">
        <f>TEXT(Table1[[#This Row],[Complaint_Date]],"MMM")</f>
        <v>Aug</v>
      </c>
      <c r="M648" t="str">
        <f>IF(Table1[[#This Row],[Resolution_Time_Hours]]&lt;=24,"Fast",IF(Table1[[#This Row],[Resolution_Time_Hours]]&lt;=72,"Medium","Slow"))</f>
        <v>Fast</v>
      </c>
    </row>
    <row r="649" spans="1:13" x14ac:dyDescent="0.3">
      <c r="A649" t="s">
        <v>1648</v>
      </c>
      <c r="B649" t="s">
        <v>1649</v>
      </c>
      <c r="C649" t="s">
        <v>70</v>
      </c>
      <c r="D649" t="s">
        <v>27</v>
      </c>
      <c r="E649" s="2" t="s">
        <v>220</v>
      </c>
      <c r="F649">
        <v>9</v>
      </c>
      <c r="G649" t="s">
        <v>40</v>
      </c>
      <c r="H649" s="2" t="s">
        <v>2820</v>
      </c>
      <c r="J649" t="str">
        <f>IF(Table1[[#This Row],[Resolution_Date]]="NA","Unresolved","Resolved")</f>
        <v>Unresolved</v>
      </c>
      <c r="K649" t="str">
        <f>IF(Table1[[#This Row],[Resolution_Date]]="NA"," ",Table1[[#This Row],[Resolution_Date]]-Table1[[#This Row],[Complaint_Date]])</f>
        <v xml:space="preserve"> </v>
      </c>
      <c r="L649" t="str">
        <f>TEXT(Table1[[#This Row],[Complaint_Date]],"MMM")</f>
        <v>Jul</v>
      </c>
      <c r="M649" t="str">
        <f>IF(Table1[[#This Row],[Resolution_Time_Hours]]&lt;=24,"Fast",IF(Table1[[#This Row],[Resolution_Time_Hours]]&lt;=72,"Medium","Slow"))</f>
        <v>Fast</v>
      </c>
    </row>
    <row r="650" spans="1:13" x14ac:dyDescent="0.3">
      <c r="A650" t="s">
        <v>1650</v>
      </c>
      <c r="B650" t="s">
        <v>1651</v>
      </c>
      <c r="C650" t="s">
        <v>48</v>
      </c>
      <c r="D650" t="s">
        <v>38</v>
      </c>
      <c r="E650" s="2" t="s">
        <v>747</v>
      </c>
      <c r="F650">
        <v>10</v>
      </c>
      <c r="G650" t="s">
        <v>20</v>
      </c>
      <c r="H650" s="2" t="s">
        <v>747</v>
      </c>
      <c r="I650">
        <v>4</v>
      </c>
      <c r="J650" t="str">
        <f>IF(Table1[[#This Row],[Resolution_Date]]="NA","Unresolved","Resolved")</f>
        <v>Resolved</v>
      </c>
      <c r="K650">
        <f>IF(Table1[[#This Row],[Resolution_Date]]="NA"," ",Table1[[#This Row],[Resolution_Date]]-Table1[[#This Row],[Complaint_Date]])</f>
        <v>0</v>
      </c>
      <c r="L650" t="str">
        <f>TEXT(Table1[[#This Row],[Complaint_Date]],"MMM")</f>
        <v>Aug</v>
      </c>
      <c r="M650" t="str">
        <f>IF(Table1[[#This Row],[Resolution_Time_Hours]]&lt;=24,"Fast",IF(Table1[[#This Row],[Resolution_Time_Hours]]&lt;=72,"Medium","Slow"))</f>
        <v>Fast</v>
      </c>
    </row>
    <row r="651" spans="1:13" x14ac:dyDescent="0.3">
      <c r="A651" t="s">
        <v>1652</v>
      </c>
      <c r="B651" t="s">
        <v>1653</v>
      </c>
      <c r="C651" t="s">
        <v>110</v>
      </c>
      <c r="D651" t="s">
        <v>38</v>
      </c>
      <c r="E651" s="2" t="s">
        <v>173</v>
      </c>
      <c r="F651">
        <v>12</v>
      </c>
      <c r="G651" t="s">
        <v>20</v>
      </c>
      <c r="H651" s="2" t="s">
        <v>173</v>
      </c>
      <c r="I651">
        <v>4</v>
      </c>
      <c r="J651" t="str">
        <f>IF(Table1[[#This Row],[Resolution_Date]]="NA","Unresolved","Resolved")</f>
        <v>Resolved</v>
      </c>
      <c r="K651">
        <f>IF(Table1[[#This Row],[Resolution_Date]]="NA"," ",Table1[[#This Row],[Resolution_Date]]-Table1[[#This Row],[Complaint_Date]])</f>
        <v>0</v>
      </c>
      <c r="L651" t="str">
        <f>TEXT(Table1[[#This Row],[Complaint_Date]],"MMM")</f>
        <v>Dec</v>
      </c>
      <c r="M651" t="str">
        <f>IF(Table1[[#This Row],[Resolution_Time_Hours]]&lt;=24,"Fast",IF(Table1[[#This Row],[Resolution_Time_Hours]]&lt;=72,"Medium","Slow"))</f>
        <v>Fast</v>
      </c>
    </row>
    <row r="652" spans="1:13" x14ac:dyDescent="0.3">
      <c r="A652" t="s">
        <v>1654</v>
      </c>
      <c r="B652" t="s">
        <v>1655</v>
      </c>
      <c r="C652" t="s">
        <v>17</v>
      </c>
      <c r="D652" t="s">
        <v>12</v>
      </c>
      <c r="E652" s="2" t="s">
        <v>886</v>
      </c>
      <c r="F652">
        <v>16</v>
      </c>
      <c r="G652" t="s">
        <v>20</v>
      </c>
      <c r="H652" s="2" t="s">
        <v>886</v>
      </c>
      <c r="I652">
        <v>5</v>
      </c>
      <c r="J652" t="str">
        <f>IF(Table1[[#This Row],[Resolution_Date]]="NA","Unresolved","Resolved")</f>
        <v>Resolved</v>
      </c>
      <c r="K652">
        <f>IF(Table1[[#This Row],[Resolution_Date]]="NA"," ",Table1[[#This Row],[Resolution_Date]]-Table1[[#This Row],[Complaint_Date]])</f>
        <v>0</v>
      </c>
      <c r="L652" t="str">
        <f>TEXT(Table1[[#This Row],[Complaint_Date]],"MMM")</f>
        <v>Jan</v>
      </c>
      <c r="M652" t="str">
        <f>IF(Table1[[#This Row],[Resolution_Time_Hours]]&lt;=24,"Fast",IF(Table1[[#This Row],[Resolution_Time_Hours]]&lt;=72,"Medium","Slow"))</f>
        <v>Fast</v>
      </c>
    </row>
    <row r="653" spans="1:13" x14ac:dyDescent="0.3">
      <c r="A653" t="s">
        <v>1656</v>
      </c>
      <c r="B653" t="s">
        <v>1657</v>
      </c>
      <c r="C653" t="s">
        <v>70</v>
      </c>
      <c r="D653" t="s">
        <v>12</v>
      </c>
      <c r="E653" s="2" t="s">
        <v>363</v>
      </c>
      <c r="F653">
        <v>19</v>
      </c>
      <c r="G653" t="s">
        <v>20</v>
      </c>
      <c r="H653" s="2" t="s">
        <v>363</v>
      </c>
      <c r="I653">
        <v>3</v>
      </c>
      <c r="J653" t="str">
        <f>IF(Table1[[#This Row],[Resolution_Date]]="NA","Unresolved","Resolved")</f>
        <v>Resolved</v>
      </c>
      <c r="K653">
        <f>IF(Table1[[#This Row],[Resolution_Date]]="NA"," ",Table1[[#This Row],[Resolution_Date]]-Table1[[#This Row],[Complaint_Date]])</f>
        <v>0</v>
      </c>
      <c r="L653" t="str">
        <f>TEXT(Table1[[#This Row],[Complaint_Date]],"MMM")</f>
        <v>Nov</v>
      </c>
      <c r="M653" t="str">
        <f>IF(Table1[[#This Row],[Resolution_Time_Hours]]&lt;=24,"Fast",IF(Table1[[#This Row],[Resolution_Time_Hours]]&lt;=72,"Medium","Slow"))</f>
        <v>Fast</v>
      </c>
    </row>
    <row r="654" spans="1:13" x14ac:dyDescent="0.3">
      <c r="A654" t="s">
        <v>1658</v>
      </c>
      <c r="B654" t="s">
        <v>1659</v>
      </c>
      <c r="C654" t="s">
        <v>17</v>
      </c>
      <c r="D654" t="s">
        <v>38</v>
      </c>
      <c r="E654" s="2" t="s">
        <v>1660</v>
      </c>
      <c r="F654">
        <v>36</v>
      </c>
      <c r="G654" t="s">
        <v>40</v>
      </c>
      <c r="H654" s="2" t="s">
        <v>2820</v>
      </c>
      <c r="J654" t="str">
        <f>IF(Table1[[#This Row],[Resolution_Date]]="NA","Unresolved","Resolved")</f>
        <v>Unresolved</v>
      </c>
      <c r="K654" t="str">
        <f>IF(Table1[[#This Row],[Resolution_Date]]="NA"," ",Table1[[#This Row],[Resolution_Date]]-Table1[[#This Row],[Complaint_Date]])</f>
        <v xml:space="preserve"> </v>
      </c>
      <c r="L654" t="str">
        <f>TEXT(Table1[[#This Row],[Complaint_Date]],"MMM")</f>
        <v>May</v>
      </c>
      <c r="M654" t="str">
        <f>IF(Table1[[#This Row],[Resolution_Time_Hours]]&lt;=24,"Fast",IF(Table1[[#This Row],[Resolution_Time_Hours]]&lt;=72,"Medium","Slow"))</f>
        <v>Medium</v>
      </c>
    </row>
    <row r="655" spans="1:13" x14ac:dyDescent="0.3">
      <c r="A655" t="s">
        <v>1661</v>
      </c>
      <c r="B655" t="s">
        <v>1662</v>
      </c>
      <c r="C655" t="s">
        <v>53</v>
      </c>
      <c r="D655" t="s">
        <v>38</v>
      </c>
      <c r="E655" s="2" t="s">
        <v>92</v>
      </c>
      <c r="F655">
        <v>9</v>
      </c>
      <c r="G655" t="s">
        <v>40</v>
      </c>
      <c r="H655" s="2" t="s">
        <v>2820</v>
      </c>
      <c r="J655" t="str">
        <f>IF(Table1[[#This Row],[Resolution_Date]]="NA","Unresolved","Resolved")</f>
        <v>Unresolved</v>
      </c>
      <c r="K655" t="str">
        <f>IF(Table1[[#This Row],[Resolution_Date]]="NA"," ",Table1[[#This Row],[Resolution_Date]]-Table1[[#This Row],[Complaint_Date]])</f>
        <v xml:space="preserve"> </v>
      </c>
      <c r="L655" t="str">
        <f>TEXT(Table1[[#This Row],[Complaint_Date]],"MMM")</f>
        <v>Feb</v>
      </c>
      <c r="M655" t="str">
        <f>IF(Table1[[#This Row],[Resolution_Time_Hours]]&lt;=24,"Fast",IF(Table1[[#This Row],[Resolution_Time_Hours]]&lt;=72,"Medium","Slow"))</f>
        <v>Fast</v>
      </c>
    </row>
    <row r="656" spans="1:13" x14ac:dyDescent="0.3">
      <c r="A656" t="s">
        <v>1663</v>
      </c>
      <c r="B656" t="s">
        <v>1664</v>
      </c>
      <c r="C656" t="s">
        <v>34</v>
      </c>
      <c r="D656" t="s">
        <v>18</v>
      </c>
      <c r="E656" s="2" t="s">
        <v>330</v>
      </c>
      <c r="F656">
        <v>83</v>
      </c>
      <c r="G656" t="s">
        <v>20</v>
      </c>
      <c r="H656" s="2" t="s">
        <v>1288</v>
      </c>
      <c r="I656">
        <v>1</v>
      </c>
      <c r="J656" t="str">
        <f>IF(Table1[[#This Row],[Resolution_Date]]="NA","Unresolved","Resolved")</f>
        <v>Resolved</v>
      </c>
      <c r="K656">
        <f>IF(Table1[[#This Row],[Resolution_Date]]="NA"," ",Table1[[#This Row],[Resolution_Date]]-Table1[[#This Row],[Complaint_Date]])</f>
        <v>3</v>
      </c>
      <c r="L656" t="str">
        <f>TEXT(Table1[[#This Row],[Complaint_Date]],"MMM")</f>
        <v>Nov</v>
      </c>
      <c r="M656" t="str">
        <f>IF(Table1[[#This Row],[Resolution_Time_Hours]]&lt;=24,"Fast",IF(Table1[[#This Row],[Resolution_Time_Hours]]&lt;=72,"Medium","Slow"))</f>
        <v>Slow</v>
      </c>
    </row>
    <row r="657" spans="1:13" x14ac:dyDescent="0.3">
      <c r="A657" t="s">
        <v>1665</v>
      </c>
      <c r="B657" t="s">
        <v>1666</v>
      </c>
      <c r="C657" t="s">
        <v>110</v>
      </c>
      <c r="D657" t="s">
        <v>27</v>
      </c>
      <c r="E657" s="2" t="s">
        <v>1667</v>
      </c>
      <c r="F657">
        <v>7</v>
      </c>
      <c r="G657" t="s">
        <v>40</v>
      </c>
      <c r="H657" s="2" t="s">
        <v>2820</v>
      </c>
      <c r="J657" t="str">
        <f>IF(Table1[[#This Row],[Resolution_Date]]="NA","Unresolved","Resolved")</f>
        <v>Unresolved</v>
      </c>
      <c r="K657" t="str">
        <f>IF(Table1[[#This Row],[Resolution_Date]]="NA"," ",Table1[[#This Row],[Resolution_Date]]-Table1[[#This Row],[Complaint_Date]])</f>
        <v xml:space="preserve"> </v>
      </c>
      <c r="L657" t="str">
        <f>TEXT(Table1[[#This Row],[Complaint_Date]],"MMM")</f>
        <v>Jul</v>
      </c>
      <c r="M657" t="str">
        <f>IF(Table1[[#This Row],[Resolution_Time_Hours]]&lt;=24,"Fast",IF(Table1[[#This Row],[Resolution_Time_Hours]]&lt;=72,"Medium","Slow"))</f>
        <v>Fast</v>
      </c>
    </row>
    <row r="658" spans="1:13" x14ac:dyDescent="0.3">
      <c r="A658" t="s">
        <v>1668</v>
      </c>
      <c r="B658" t="s">
        <v>1669</v>
      </c>
      <c r="C658" t="s">
        <v>11</v>
      </c>
      <c r="D658" t="s">
        <v>95</v>
      </c>
      <c r="E658" s="2" t="s">
        <v>883</v>
      </c>
      <c r="F658">
        <v>17</v>
      </c>
      <c r="G658" t="s">
        <v>40</v>
      </c>
      <c r="H658" s="2" t="s">
        <v>2820</v>
      </c>
      <c r="J658" t="str">
        <f>IF(Table1[[#This Row],[Resolution_Date]]="NA","Unresolved","Resolved")</f>
        <v>Unresolved</v>
      </c>
      <c r="K658" t="str">
        <f>IF(Table1[[#This Row],[Resolution_Date]]="NA"," ",Table1[[#This Row],[Resolution_Date]]-Table1[[#This Row],[Complaint_Date]])</f>
        <v xml:space="preserve"> </v>
      </c>
      <c r="L658" t="str">
        <f>TEXT(Table1[[#This Row],[Complaint_Date]],"MMM")</f>
        <v>Jun</v>
      </c>
      <c r="M658" t="str">
        <f>IF(Table1[[#This Row],[Resolution_Time_Hours]]&lt;=24,"Fast",IF(Table1[[#This Row],[Resolution_Time_Hours]]&lt;=72,"Medium","Slow"))</f>
        <v>Fast</v>
      </c>
    </row>
    <row r="659" spans="1:13" x14ac:dyDescent="0.3">
      <c r="A659" t="s">
        <v>1670</v>
      </c>
      <c r="B659" t="s">
        <v>1671</v>
      </c>
      <c r="C659" t="s">
        <v>48</v>
      </c>
      <c r="D659" t="s">
        <v>95</v>
      </c>
      <c r="E659" s="2" t="s">
        <v>441</v>
      </c>
      <c r="F659">
        <v>32</v>
      </c>
      <c r="G659" t="s">
        <v>20</v>
      </c>
      <c r="H659" s="2" t="s">
        <v>1672</v>
      </c>
      <c r="I659">
        <v>2</v>
      </c>
      <c r="J659" t="str">
        <f>IF(Table1[[#This Row],[Resolution_Date]]="NA","Unresolved","Resolved")</f>
        <v>Resolved</v>
      </c>
      <c r="K659">
        <f>IF(Table1[[#This Row],[Resolution_Date]]="NA"," ",Table1[[#This Row],[Resolution_Date]]-Table1[[#This Row],[Complaint_Date]])</f>
        <v>1</v>
      </c>
      <c r="L659" t="str">
        <f>TEXT(Table1[[#This Row],[Complaint_Date]],"MMM")</f>
        <v>Sep</v>
      </c>
      <c r="M659" t="str">
        <f>IF(Table1[[#This Row],[Resolution_Time_Hours]]&lt;=24,"Fast",IF(Table1[[#This Row],[Resolution_Time_Hours]]&lt;=72,"Medium","Slow"))</f>
        <v>Medium</v>
      </c>
    </row>
    <row r="660" spans="1:13" x14ac:dyDescent="0.3">
      <c r="A660" t="s">
        <v>1673</v>
      </c>
      <c r="B660" t="s">
        <v>1674</v>
      </c>
      <c r="C660" t="s">
        <v>53</v>
      </c>
      <c r="D660" t="s">
        <v>12</v>
      </c>
      <c r="E660" s="2" t="s">
        <v>1220</v>
      </c>
      <c r="F660">
        <v>7</v>
      </c>
      <c r="G660" t="s">
        <v>14</v>
      </c>
      <c r="H660" s="2" t="s">
        <v>2820</v>
      </c>
      <c r="J660" t="str">
        <f>IF(Table1[[#This Row],[Resolution_Date]]="NA","Unresolved","Resolved")</f>
        <v>Unresolved</v>
      </c>
      <c r="K660" t="str">
        <f>IF(Table1[[#This Row],[Resolution_Date]]="NA"," ",Table1[[#This Row],[Resolution_Date]]-Table1[[#This Row],[Complaint_Date]])</f>
        <v xml:space="preserve"> </v>
      </c>
      <c r="L660" t="str">
        <f>TEXT(Table1[[#This Row],[Complaint_Date]],"MMM")</f>
        <v>Mar</v>
      </c>
      <c r="M660" t="str">
        <f>IF(Table1[[#This Row],[Resolution_Time_Hours]]&lt;=24,"Fast",IF(Table1[[#This Row],[Resolution_Time_Hours]]&lt;=72,"Medium","Slow"))</f>
        <v>Fast</v>
      </c>
    </row>
    <row r="661" spans="1:13" x14ac:dyDescent="0.3">
      <c r="A661" t="s">
        <v>1675</v>
      </c>
      <c r="B661" t="s">
        <v>1676</v>
      </c>
      <c r="C661" t="s">
        <v>110</v>
      </c>
      <c r="D661" t="s">
        <v>27</v>
      </c>
      <c r="E661" s="2" t="s">
        <v>1287</v>
      </c>
      <c r="F661">
        <v>21</v>
      </c>
      <c r="G661" t="s">
        <v>14</v>
      </c>
      <c r="H661" s="2" t="s">
        <v>2820</v>
      </c>
      <c r="J661" t="str">
        <f>IF(Table1[[#This Row],[Resolution_Date]]="NA","Unresolved","Resolved")</f>
        <v>Unresolved</v>
      </c>
      <c r="K661" t="str">
        <f>IF(Table1[[#This Row],[Resolution_Date]]="NA"," ",Table1[[#This Row],[Resolution_Date]]-Table1[[#This Row],[Complaint_Date]])</f>
        <v xml:space="preserve"> </v>
      </c>
      <c r="L661" t="str">
        <f>TEXT(Table1[[#This Row],[Complaint_Date]],"MMM")</f>
        <v>Nov</v>
      </c>
      <c r="M661" t="str">
        <f>IF(Table1[[#This Row],[Resolution_Time_Hours]]&lt;=24,"Fast",IF(Table1[[#This Row],[Resolution_Time_Hours]]&lt;=72,"Medium","Slow"))</f>
        <v>Fast</v>
      </c>
    </row>
    <row r="662" spans="1:13" x14ac:dyDescent="0.3">
      <c r="A662" t="s">
        <v>1677</v>
      </c>
      <c r="B662" t="s">
        <v>1678</v>
      </c>
      <c r="C662" t="s">
        <v>17</v>
      </c>
      <c r="D662" t="s">
        <v>38</v>
      </c>
      <c r="E662" s="2" t="s">
        <v>179</v>
      </c>
      <c r="F662">
        <v>19</v>
      </c>
      <c r="G662" t="s">
        <v>14</v>
      </c>
      <c r="H662" s="2" t="s">
        <v>2820</v>
      </c>
      <c r="J662" t="str">
        <f>IF(Table1[[#This Row],[Resolution_Date]]="NA","Unresolved","Resolved")</f>
        <v>Unresolved</v>
      </c>
      <c r="K662" t="str">
        <f>IF(Table1[[#This Row],[Resolution_Date]]="NA"," ",Table1[[#This Row],[Resolution_Date]]-Table1[[#This Row],[Complaint_Date]])</f>
        <v xml:space="preserve"> </v>
      </c>
      <c r="L662" t="str">
        <f>TEXT(Table1[[#This Row],[Complaint_Date]],"MMM")</f>
        <v>Apr</v>
      </c>
      <c r="M662" t="str">
        <f>IF(Table1[[#This Row],[Resolution_Time_Hours]]&lt;=24,"Fast",IF(Table1[[#This Row],[Resolution_Time_Hours]]&lt;=72,"Medium","Slow"))</f>
        <v>Fast</v>
      </c>
    </row>
    <row r="663" spans="1:13" x14ac:dyDescent="0.3">
      <c r="A663" t="s">
        <v>1679</v>
      </c>
      <c r="B663" t="s">
        <v>1680</v>
      </c>
      <c r="C663" t="s">
        <v>53</v>
      </c>
      <c r="D663" t="s">
        <v>18</v>
      </c>
      <c r="E663" s="2" t="s">
        <v>1256</v>
      </c>
      <c r="F663">
        <v>9</v>
      </c>
      <c r="G663" t="s">
        <v>40</v>
      </c>
      <c r="H663" s="2" t="s">
        <v>2820</v>
      </c>
      <c r="J663" t="str">
        <f>IF(Table1[[#This Row],[Resolution_Date]]="NA","Unresolved","Resolved")</f>
        <v>Unresolved</v>
      </c>
      <c r="K663" t="str">
        <f>IF(Table1[[#This Row],[Resolution_Date]]="NA"," ",Table1[[#This Row],[Resolution_Date]]-Table1[[#This Row],[Complaint_Date]])</f>
        <v xml:space="preserve"> </v>
      </c>
      <c r="L663" t="str">
        <f>TEXT(Table1[[#This Row],[Complaint_Date]],"MMM")</f>
        <v>Apr</v>
      </c>
      <c r="M663" t="str">
        <f>IF(Table1[[#This Row],[Resolution_Time_Hours]]&lt;=24,"Fast",IF(Table1[[#This Row],[Resolution_Time_Hours]]&lt;=72,"Medium","Slow"))</f>
        <v>Fast</v>
      </c>
    </row>
    <row r="664" spans="1:13" x14ac:dyDescent="0.3">
      <c r="A664" t="s">
        <v>1681</v>
      </c>
      <c r="B664" t="s">
        <v>1682</v>
      </c>
      <c r="C664" t="s">
        <v>110</v>
      </c>
      <c r="D664" t="s">
        <v>38</v>
      </c>
      <c r="E664" s="2" t="s">
        <v>708</v>
      </c>
      <c r="F664">
        <v>19</v>
      </c>
      <c r="G664" t="s">
        <v>20</v>
      </c>
      <c r="H664" s="2" t="s">
        <v>708</v>
      </c>
      <c r="I664">
        <v>3</v>
      </c>
      <c r="J664" t="str">
        <f>IF(Table1[[#This Row],[Resolution_Date]]="NA","Unresolved","Resolved")</f>
        <v>Resolved</v>
      </c>
      <c r="K664">
        <f>IF(Table1[[#This Row],[Resolution_Date]]="NA"," ",Table1[[#This Row],[Resolution_Date]]-Table1[[#This Row],[Complaint_Date]])</f>
        <v>0</v>
      </c>
      <c r="L664" t="str">
        <f>TEXT(Table1[[#This Row],[Complaint_Date]],"MMM")</f>
        <v>Jan</v>
      </c>
      <c r="M664" t="str">
        <f>IF(Table1[[#This Row],[Resolution_Time_Hours]]&lt;=24,"Fast",IF(Table1[[#This Row],[Resolution_Time_Hours]]&lt;=72,"Medium","Slow"))</f>
        <v>Fast</v>
      </c>
    </row>
    <row r="665" spans="1:13" x14ac:dyDescent="0.3">
      <c r="A665" t="s">
        <v>1683</v>
      </c>
      <c r="B665" t="s">
        <v>1684</v>
      </c>
      <c r="C665" t="s">
        <v>43</v>
      </c>
      <c r="D665" t="s">
        <v>12</v>
      </c>
      <c r="E665" s="2" t="s">
        <v>1429</v>
      </c>
      <c r="F665">
        <v>12</v>
      </c>
      <c r="G665" t="s">
        <v>14</v>
      </c>
      <c r="H665" s="2" t="s">
        <v>2820</v>
      </c>
      <c r="J665" t="str">
        <f>IF(Table1[[#This Row],[Resolution_Date]]="NA","Unresolved","Resolved")</f>
        <v>Unresolved</v>
      </c>
      <c r="K665" t="str">
        <f>IF(Table1[[#This Row],[Resolution_Date]]="NA"," ",Table1[[#This Row],[Resolution_Date]]-Table1[[#This Row],[Complaint_Date]])</f>
        <v xml:space="preserve"> </v>
      </c>
      <c r="L665" t="str">
        <f>TEXT(Table1[[#This Row],[Complaint_Date]],"MMM")</f>
        <v>Jun</v>
      </c>
      <c r="M665" t="str">
        <f>IF(Table1[[#This Row],[Resolution_Time_Hours]]&lt;=24,"Fast",IF(Table1[[#This Row],[Resolution_Time_Hours]]&lt;=72,"Medium","Slow"))</f>
        <v>Fast</v>
      </c>
    </row>
    <row r="666" spans="1:13" x14ac:dyDescent="0.3">
      <c r="A666" t="s">
        <v>1685</v>
      </c>
      <c r="B666" t="s">
        <v>1686</v>
      </c>
      <c r="C666" t="s">
        <v>34</v>
      </c>
      <c r="D666" t="s">
        <v>27</v>
      </c>
      <c r="E666" s="2" t="s">
        <v>528</v>
      </c>
      <c r="F666">
        <v>44</v>
      </c>
      <c r="G666" t="s">
        <v>40</v>
      </c>
      <c r="H666" s="2" t="s">
        <v>2820</v>
      </c>
      <c r="J666" t="str">
        <f>IF(Table1[[#This Row],[Resolution_Date]]="NA","Unresolved","Resolved")</f>
        <v>Unresolved</v>
      </c>
      <c r="K666" t="str">
        <f>IF(Table1[[#This Row],[Resolution_Date]]="NA"," ",Table1[[#This Row],[Resolution_Date]]-Table1[[#This Row],[Complaint_Date]])</f>
        <v xml:space="preserve"> </v>
      </c>
      <c r="L666" t="str">
        <f>TEXT(Table1[[#This Row],[Complaint_Date]],"MMM")</f>
        <v>Dec</v>
      </c>
      <c r="M666" t="str">
        <f>IF(Table1[[#This Row],[Resolution_Time_Hours]]&lt;=24,"Fast",IF(Table1[[#This Row],[Resolution_Time_Hours]]&lt;=72,"Medium","Slow"))</f>
        <v>Medium</v>
      </c>
    </row>
    <row r="667" spans="1:13" x14ac:dyDescent="0.3">
      <c r="A667" t="s">
        <v>1687</v>
      </c>
      <c r="B667" t="s">
        <v>1688</v>
      </c>
      <c r="C667" t="s">
        <v>53</v>
      </c>
      <c r="D667" t="s">
        <v>18</v>
      </c>
      <c r="E667" s="2" t="s">
        <v>223</v>
      </c>
      <c r="F667">
        <v>1</v>
      </c>
      <c r="G667" t="s">
        <v>14</v>
      </c>
      <c r="H667" s="2" t="s">
        <v>2820</v>
      </c>
      <c r="J667" t="str">
        <f>IF(Table1[[#This Row],[Resolution_Date]]="NA","Unresolved","Resolved")</f>
        <v>Unresolved</v>
      </c>
      <c r="K667" t="str">
        <f>IF(Table1[[#This Row],[Resolution_Date]]="NA"," ",Table1[[#This Row],[Resolution_Date]]-Table1[[#This Row],[Complaint_Date]])</f>
        <v xml:space="preserve"> </v>
      </c>
      <c r="L667" t="str">
        <f>TEXT(Table1[[#This Row],[Complaint_Date]],"MMM")</f>
        <v>Dec</v>
      </c>
      <c r="M667" t="str">
        <f>IF(Table1[[#This Row],[Resolution_Time_Hours]]&lt;=24,"Fast",IF(Table1[[#This Row],[Resolution_Time_Hours]]&lt;=72,"Medium","Slow"))</f>
        <v>Fast</v>
      </c>
    </row>
    <row r="668" spans="1:13" x14ac:dyDescent="0.3">
      <c r="A668" t="s">
        <v>1689</v>
      </c>
      <c r="B668" t="s">
        <v>1690</v>
      </c>
      <c r="C668" t="s">
        <v>17</v>
      </c>
      <c r="D668" t="s">
        <v>95</v>
      </c>
      <c r="E668" s="2" t="s">
        <v>747</v>
      </c>
      <c r="F668">
        <v>25</v>
      </c>
      <c r="G668" t="s">
        <v>20</v>
      </c>
      <c r="H668" s="2" t="s">
        <v>608</v>
      </c>
      <c r="I668">
        <v>2</v>
      </c>
      <c r="J668" t="str">
        <f>IF(Table1[[#This Row],[Resolution_Date]]="NA","Unresolved","Resolved")</f>
        <v>Resolved</v>
      </c>
      <c r="K668">
        <f>IF(Table1[[#This Row],[Resolution_Date]]="NA"," ",Table1[[#This Row],[Resolution_Date]]-Table1[[#This Row],[Complaint_Date]])</f>
        <v>1</v>
      </c>
      <c r="L668" t="str">
        <f>TEXT(Table1[[#This Row],[Complaint_Date]],"MMM")</f>
        <v>Aug</v>
      </c>
      <c r="M668" t="str">
        <f>IF(Table1[[#This Row],[Resolution_Time_Hours]]&lt;=24,"Fast",IF(Table1[[#This Row],[Resolution_Time_Hours]]&lt;=72,"Medium","Slow"))</f>
        <v>Medium</v>
      </c>
    </row>
    <row r="669" spans="1:13" x14ac:dyDescent="0.3">
      <c r="A669" t="s">
        <v>1691</v>
      </c>
      <c r="B669" t="s">
        <v>1692</v>
      </c>
      <c r="C669" t="s">
        <v>48</v>
      </c>
      <c r="D669" t="s">
        <v>38</v>
      </c>
      <c r="E669" s="2" t="s">
        <v>1693</v>
      </c>
      <c r="F669">
        <v>64</v>
      </c>
      <c r="G669" t="s">
        <v>20</v>
      </c>
      <c r="H669" s="2" t="s">
        <v>1694</v>
      </c>
      <c r="I669">
        <v>1</v>
      </c>
      <c r="J669" t="str">
        <f>IF(Table1[[#This Row],[Resolution_Date]]="NA","Unresolved","Resolved")</f>
        <v>Resolved</v>
      </c>
      <c r="K669">
        <f>IF(Table1[[#This Row],[Resolution_Date]]="NA"," ",Table1[[#This Row],[Resolution_Date]]-Table1[[#This Row],[Complaint_Date]])</f>
        <v>2</v>
      </c>
      <c r="L669" t="str">
        <f>TEXT(Table1[[#This Row],[Complaint_Date]],"MMM")</f>
        <v>Oct</v>
      </c>
      <c r="M669" t="str">
        <f>IF(Table1[[#This Row],[Resolution_Time_Hours]]&lt;=24,"Fast",IF(Table1[[#This Row],[Resolution_Time_Hours]]&lt;=72,"Medium","Slow"))</f>
        <v>Medium</v>
      </c>
    </row>
    <row r="670" spans="1:13" x14ac:dyDescent="0.3">
      <c r="A670" t="s">
        <v>1695</v>
      </c>
      <c r="B670" t="s">
        <v>1696</v>
      </c>
      <c r="C670" t="s">
        <v>48</v>
      </c>
      <c r="D670" t="s">
        <v>95</v>
      </c>
      <c r="E670" s="2" t="s">
        <v>549</v>
      </c>
      <c r="F670">
        <v>35</v>
      </c>
      <c r="G670" t="s">
        <v>20</v>
      </c>
      <c r="H670" s="2" t="s">
        <v>1620</v>
      </c>
      <c r="I670">
        <v>2</v>
      </c>
      <c r="J670" t="str">
        <f>IF(Table1[[#This Row],[Resolution_Date]]="NA","Unresolved","Resolved")</f>
        <v>Resolved</v>
      </c>
      <c r="K670">
        <f>IF(Table1[[#This Row],[Resolution_Date]]="NA"," ",Table1[[#This Row],[Resolution_Date]]-Table1[[#This Row],[Complaint_Date]])</f>
        <v>1</v>
      </c>
      <c r="L670" t="str">
        <f>TEXT(Table1[[#This Row],[Complaint_Date]],"MMM")</f>
        <v>Jan</v>
      </c>
      <c r="M670" t="str">
        <f>IF(Table1[[#This Row],[Resolution_Time_Hours]]&lt;=24,"Fast",IF(Table1[[#This Row],[Resolution_Time_Hours]]&lt;=72,"Medium","Slow"))</f>
        <v>Medium</v>
      </c>
    </row>
    <row r="671" spans="1:13" x14ac:dyDescent="0.3">
      <c r="A671" t="s">
        <v>1697</v>
      </c>
      <c r="B671" t="s">
        <v>1698</v>
      </c>
      <c r="C671" t="s">
        <v>110</v>
      </c>
      <c r="D671" t="s">
        <v>38</v>
      </c>
      <c r="E671" s="2" t="s">
        <v>452</v>
      </c>
      <c r="F671">
        <v>7</v>
      </c>
      <c r="G671" t="s">
        <v>20</v>
      </c>
      <c r="H671" s="2" t="s">
        <v>452</v>
      </c>
      <c r="I671">
        <v>4</v>
      </c>
      <c r="J671" t="str">
        <f>IF(Table1[[#This Row],[Resolution_Date]]="NA","Unresolved","Resolved")</f>
        <v>Resolved</v>
      </c>
      <c r="K671">
        <f>IF(Table1[[#This Row],[Resolution_Date]]="NA"," ",Table1[[#This Row],[Resolution_Date]]-Table1[[#This Row],[Complaint_Date]])</f>
        <v>0</v>
      </c>
      <c r="L671" t="str">
        <f>TEXT(Table1[[#This Row],[Complaint_Date]],"MMM")</f>
        <v>Dec</v>
      </c>
      <c r="M671" t="str">
        <f>IF(Table1[[#This Row],[Resolution_Time_Hours]]&lt;=24,"Fast",IF(Table1[[#This Row],[Resolution_Time_Hours]]&lt;=72,"Medium","Slow"))</f>
        <v>Fast</v>
      </c>
    </row>
    <row r="672" spans="1:13" x14ac:dyDescent="0.3">
      <c r="A672" t="s">
        <v>1699</v>
      </c>
      <c r="B672" t="s">
        <v>1700</v>
      </c>
      <c r="C672" t="s">
        <v>34</v>
      </c>
      <c r="D672" t="s">
        <v>12</v>
      </c>
      <c r="E672" s="2" t="s">
        <v>1496</v>
      </c>
      <c r="F672">
        <v>47</v>
      </c>
      <c r="G672" t="s">
        <v>20</v>
      </c>
      <c r="H672" s="2" t="s">
        <v>179</v>
      </c>
      <c r="I672">
        <v>2</v>
      </c>
      <c r="J672" t="str">
        <f>IF(Table1[[#This Row],[Resolution_Date]]="NA","Unresolved","Resolved")</f>
        <v>Resolved</v>
      </c>
      <c r="K672">
        <f>IF(Table1[[#This Row],[Resolution_Date]]="NA"," ",Table1[[#This Row],[Resolution_Date]]-Table1[[#This Row],[Complaint_Date]])</f>
        <v>1</v>
      </c>
      <c r="L672" t="str">
        <f>TEXT(Table1[[#This Row],[Complaint_Date]],"MMM")</f>
        <v>Apr</v>
      </c>
      <c r="M672" t="str">
        <f>IF(Table1[[#This Row],[Resolution_Time_Hours]]&lt;=24,"Fast",IF(Table1[[#This Row],[Resolution_Time_Hours]]&lt;=72,"Medium","Slow"))</f>
        <v>Medium</v>
      </c>
    </row>
    <row r="673" spans="1:13" x14ac:dyDescent="0.3">
      <c r="A673" t="s">
        <v>1701</v>
      </c>
      <c r="B673" t="s">
        <v>1702</v>
      </c>
      <c r="C673" t="s">
        <v>70</v>
      </c>
      <c r="D673" t="s">
        <v>18</v>
      </c>
      <c r="E673" s="2" t="s">
        <v>179</v>
      </c>
      <c r="F673">
        <v>14</v>
      </c>
      <c r="G673" t="s">
        <v>20</v>
      </c>
      <c r="H673" s="2" t="s">
        <v>179</v>
      </c>
      <c r="I673">
        <v>3</v>
      </c>
      <c r="J673" t="str">
        <f>IF(Table1[[#This Row],[Resolution_Date]]="NA","Unresolved","Resolved")</f>
        <v>Resolved</v>
      </c>
      <c r="K673">
        <f>IF(Table1[[#This Row],[Resolution_Date]]="NA"," ",Table1[[#This Row],[Resolution_Date]]-Table1[[#This Row],[Complaint_Date]])</f>
        <v>0</v>
      </c>
      <c r="L673" t="str">
        <f>TEXT(Table1[[#This Row],[Complaint_Date]],"MMM")</f>
        <v>Apr</v>
      </c>
      <c r="M673" t="str">
        <f>IF(Table1[[#This Row],[Resolution_Time_Hours]]&lt;=24,"Fast",IF(Table1[[#This Row],[Resolution_Time_Hours]]&lt;=72,"Medium","Slow"))</f>
        <v>Fast</v>
      </c>
    </row>
    <row r="674" spans="1:13" x14ac:dyDescent="0.3">
      <c r="A674" t="s">
        <v>1703</v>
      </c>
      <c r="B674" t="s">
        <v>1704</v>
      </c>
      <c r="C674" t="s">
        <v>17</v>
      </c>
      <c r="D674" t="s">
        <v>95</v>
      </c>
      <c r="E674" s="2" t="s">
        <v>143</v>
      </c>
      <c r="F674">
        <v>19</v>
      </c>
      <c r="G674" t="s">
        <v>20</v>
      </c>
      <c r="H674" s="2" t="s">
        <v>143</v>
      </c>
      <c r="I674">
        <v>3</v>
      </c>
      <c r="J674" t="str">
        <f>IF(Table1[[#This Row],[Resolution_Date]]="NA","Unresolved","Resolved")</f>
        <v>Resolved</v>
      </c>
      <c r="K674">
        <f>IF(Table1[[#This Row],[Resolution_Date]]="NA"," ",Table1[[#This Row],[Resolution_Date]]-Table1[[#This Row],[Complaint_Date]])</f>
        <v>0</v>
      </c>
      <c r="L674" t="str">
        <f>TEXT(Table1[[#This Row],[Complaint_Date]],"MMM")</f>
        <v>Jan</v>
      </c>
      <c r="M674" t="str">
        <f>IF(Table1[[#This Row],[Resolution_Time_Hours]]&lt;=24,"Fast",IF(Table1[[#This Row],[Resolution_Time_Hours]]&lt;=72,"Medium","Slow"))</f>
        <v>Fast</v>
      </c>
    </row>
    <row r="675" spans="1:13" x14ac:dyDescent="0.3">
      <c r="A675" t="s">
        <v>1705</v>
      </c>
      <c r="B675" t="s">
        <v>1706</v>
      </c>
      <c r="C675" t="s">
        <v>110</v>
      </c>
      <c r="D675" t="s">
        <v>38</v>
      </c>
      <c r="E675" s="2" t="s">
        <v>217</v>
      </c>
      <c r="F675">
        <v>22</v>
      </c>
      <c r="G675" t="s">
        <v>40</v>
      </c>
      <c r="H675" s="2" t="s">
        <v>2820</v>
      </c>
      <c r="J675" t="str">
        <f>IF(Table1[[#This Row],[Resolution_Date]]="NA","Unresolved","Resolved")</f>
        <v>Unresolved</v>
      </c>
      <c r="K675" t="str">
        <f>IF(Table1[[#This Row],[Resolution_Date]]="NA"," ",Table1[[#This Row],[Resolution_Date]]-Table1[[#This Row],[Complaint_Date]])</f>
        <v xml:space="preserve"> </v>
      </c>
      <c r="L675" t="str">
        <f>TEXT(Table1[[#This Row],[Complaint_Date]],"MMM")</f>
        <v>Dec</v>
      </c>
      <c r="M675" t="str">
        <f>IF(Table1[[#This Row],[Resolution_Time_Hours]]&lt;=24,"Fast",IF(Table1[[#This Row],[Resolution_Time_Hours]]&lt;=72,"Medium","Slow"))</f>
        <v>Fast</v>
      </c>
    </row>
    <row r="676" spans="1:13" x14ac:dyDescent="0.3">
      <c r="A676" t="s">
        <v>1707</v>
      </c>
      <c r="B676" t="s">
        <v>1708</v>
      </c>
      <c r="C676" t="s">
        <v>48</v>
      </c>
      <c r="D676" t="s">
        <v>12</v>
      </c>
      <c r="E676" s="2" t="s">
        <v>35</v>
      </c>
      <c r="F676">
        <v>69</v>
      </c>
      <c r="G676" t="s">
        <v>20</v>
      </c>
      <c r="H676" s="2" t="s">
        <v>287</v>
      </c>
      <c r="I676">
        <v>1</v>
      </c>
      <c r="J676" t="str">
        <f>IF(Table1[[#This Row],[Resolution_Date]]="NA","Unresolved","Resolved")</f>
        <v>Resolved</v>
      </c>
      <c r="K676">
        <f>IF(Table1[[#This Row],[Resolution_Date]]="NA"," ",Table1[[#This Row],[Resolution_Date]]-Table1[[#This Row],[Complaint_Date]])</f>
        <v>2</v>
      </c>
      <c r="L676" t="str">
        <f>TEXT(Table1[[#This Row],[Complaint_Date]],"MMM")</f>
        <v>Dec</v>
      </c>
      <c r="M676" t="str">
        <f>IF(Table1[[#This Row],[Resolution_Time_Hours]]&lt;=24,"Fast",IF(Table1[[#This Row],[Resolution_Time_Hours]]&lt;=72,"Medium","Slow"))</f>
        <v>Medium</v>
      </c>
    </row>
    <row r="677" spans="1:13" x14ac:dyDescent="0.3">
      <c r="A677" t="s">
        <v>1709</v>
      </c>
      <c r="B677" t="s">
        <v>1710</v>
      </c>
      <c r="C677" t="s">
        <v>53</v>
      </c>
      <c r="D677" t="s">
        <v>38</v>
      </c>
      <c r="E677" s="2" t="s">
        <v>1711</v>
      </c>
      <c r="F677">
        <v>6</v>
      </c>
      <c r="G677" t="s">
        <v>40</v>
      </c>
      <c r="H677" s="2" t="s">
        <v>2820</v>
      </c>
      <c r="J677" t="str">
        <f>IF(Table1[[#This Row],[Resolution_Date]]="NA","Unresolved","Resolved")</f>
        <v>Unresolved</v>
      </c>
      <c r="K677" t="str">
        <f>IF(Table1[[#This Row],[Resolution_Date]]="NA"," ",Table1[[#This Row],[Resolution_Date]]-Table1[[#This Row],[Complaint_Date]])</f>
        <v xml:space="preserve"> </v>
      </c>
      <c r="L677" t="str">
        <f>TEXT(Table1[[#This Row],[Complaint_Date]],"MMM")</f>
        <v>Jan</v>
      </c>
      <c r="M677" t="str">
        <f>IF(Table1[[#This Row],[Resolution_Time_Hours]]&lt;=24,"Fast",IF(Table1[[#This Row],[Resolution_Time_Hours]]&lt;=72,"Medium","Slow"))</f>
        <v>Fast</v>
      </c>
    </row>
    <row r="678" spans="1:13" x14ac:dyDescent="0.3">
      <c r="A678" t="s">
        <v>1712</v>
      </c>
      <c r="B678" t="s">
        <v>1713</v>
      </c>
      <c r="C678" t="s">
        <v>34</v>
      </c>
      <c r="D678" t="s">
        <v>95</v>
      </c>
      <c r="E678" s="2" t="s">
        <v>176</v>
      </c>
      <c r="F678">
        <v>47</v>
      </c>
      <c r="G678" t="s">
        <v>20</v>
      </c>
      <c r="H678" s="2" t="s">
        <v>591</v>
      </c>
      <c r="I678">
        <v>2</v>
      </c>
      <c r="J678" t="str">
        <f>IF(Table1[[#This Row],[Resolution_Date]]="NA","Unresolved","Resolved")</f>
        <v>Resolved</v>
      </c>
      <c r="K678">
        <f>IF(Table1[[#This Row],[Resolution_Date]]="NA"," ",Table1[[#This Row],[Resolution_Date]]-Table1[[#This Row],[Complaint_Date]])</f>
        <v>1</v>
      </c>
      <c r="L678" t="str">
        <f>TEXT(Table1[[#This Row],[Complaint_Date]],"MMM")</f>
        <v>Aug</v>
      </c>
      <c r="M678" t="str">
        <f>IF(Table1[[#This Row],[Resolution_Time_Hours]]&lt;=24,"Fast",IF(Table1[[#This Row],[Resolution_Time_Hours]]&lt;=72,"Medium","Slow"))</f>
        <v>Medium</v>
      </c>
    </row>
    <row r="679" spans="1:13" x14ac:dyDescent="0.3">
      <c r="A679" t="s">
        <v>1714</v>
      </c>
      <c r="B679" t="s">
        <v>1715</v>
      </c>
      <c r="C679" t="s">
        <v>48</v>
      </c>
      <c r="D679" t="s">
        <v>38</v>
      </c>
      <c r="E679" s="2" t="s">
        <v>466</v>
      </c>
      <c r="F679">
        <v>42</v>
      </c>
      <c r="G679" t="s">
        <v>14</v>
      </c>
      <c r="H679" s="2" t="s">
        <v>2820</v>
      </c>
      <c r="J679" t="str">
        <f>IF(Table1[[#This Row],[Resolution_Date]]="NA","Unresolved","Resolved")</f>
        <v>Unresolved</v>
      </c>
      <c r="K679" t="str">
        <f>IF(Table1[[#This Row],[Resolution_Date]]="NA"," ",Table1[[#This Row],[Resolution_Date]]-Table1[[#This Row],[Complaint_Date]])</f>
        <v xml:space="preserve"> </v>
      </c>
      <c r="L679" t="str">
        <f>TEXT(Table1[[#This Row],[Complaint_Date]],"MMM")</f>
        <v>Dec</v>
      </c>
      <c r="M679" t="str">
        <f>IF(Table1[[#This Row],[Resolution_Time_Hours]]&lt;=24,"Fast",IF(Table1[[#This Row],[Resolution_Time_Hours]]&lt;=72,"Medium","Slow"))</f>
        <v>Medium</v>
      </c>
    </row>
    <row r="680" spans="1:13" x14ac:dyDescent="0.3">
      <c r="A680" t="s">
        <v>1716</v>
      </c>
      <c r="B680" t="s">
        <v>1717</v>
      </c>
      <c r="C680" t="s">
        <v>53</v>
      </c>
      <c r="D680" t="s">
        <v>12</v>
      </c>
      <c r="E680" s="2" t="s">
        <v>892</v>
      </c>
      <c r="F680">
        <v>8</v>
      </c>
      <c r="G680" t="s">
        <v>20</v>
      </c>
      <c r="H680" s="2" t="s">
        <v>892</v>
      </c>
      <c r="I680">
        <v>5</v>
      </c>
      <c r="J680" t="str">
        <f>IF(Table1[[#This Row],[Resolution_Date]]="NA","Unresolved","Resolved")</f>
        <v>Resolved</v>
      </c>
      <c r="K680">
        <f>IF(Table1[[#This Row],[Resolution_Date]]="NA"," ",Table1[[#This Row],[Resolution_Date]]-Table1[[#This Row],[Complaint_Date]])</f>
        <v>0</v>
      </c>
      <c r="L680" t="str">
        <f>TEXT(Table1[[#This Row],[Complaint_Date]],"MMM")</f>
        <v>Dec</v>
      </c>
      <c r="M680" t="str">
        <f>IF(Table1[[#This Row],[Resolution_Time_Hours]]&lt;=24,"Fast",IF(Table1[[#This Row],[Resolution_Time_Hours]]&lt;=72,"Medium","Slow"))</f>
        <v>Fast</v>
      </c>
    </row>
    <row r="681" spans="1:13" x14ac:dyDescent="0.3">
      <c r="A681" t="s">
        <v>1718</v>
      </c>
      <c r="B681" t="s">
        <v>1719</v>
      </c>
      <c r="C681" t="s">
        <v>17</v>
      </c>
      <c r="D681" t="s">
        <v>95</v>
      </c>
      <c r="E681" s="2" t="s">
        <v>1029</v>
      </c>
      <c r="F681">
        <v>15</v>
      </c>
      <c r="G681" t="s">
        <v>20</v>
      </c>
      <c r="H681" s="2" t="s">
        <v>1029</v>
      </c>
      <c r="I681">
        <v>3</v>
      </c>
      <c r="J681" t="str">
        <f>IF(Table1[[#This Row],[Resolution_Date]]="NA","Unresolved","Resolved")</f>
        <v>Resolved</v>
      </c>
      <c r="K681">
        <f>IF(Table1[[#This Row],[Resolution_Date]]="NA"," ",Table1[[#This Row],[Resolution_Date]]-Table1[[#This Row],[Complaint_Date]])</f>
        <v>0</v>
      </c>
      <c r="L681" t="str">
        <f>TEXT(Table1[[#This Row],[Complaint_Date]],"MMM")</f>
        <v>Nov</v>
      </c>
      <c r="M681" t="str">
        <f>IF(Table1[[#This Row],[Resolution_Time_Hours]]&lt;=24,"Fast",IF(Table1[[#This Row],[Resolution_Time_Hours]]&lt;=72,"Medium","Slow"))</f>
        <v>Fast</v>
      </c>
    </row>
    <row r="682" spans="1:13" x14ac:dyDescent="0.3">
      <c r="A682" t="s">
        <v>1720</v>
      </c>
      <c r="B682" t="s">
        <v>1721</v>
      </c>
      <c r="C682" t="s">
        <v>43</v>
      </c>
      <c r="D682" t="s">
        <v>95</v>
      </c>
      <c r="E682" s="2" t="s">
        <v>1576</v>
      </c>
      <c r="F682">
        <v>61</v>
      </c>
      <c r="G682" t="s">
        <v>20</v>
      </c>
      <c r="H682" s="2" t="s">
        <v>555</v>
      </c>
      <c r="I682">
        <v>1</v>
      </c>
      <c r="J682" t="str">
        <f>IF(Table1[[#This Row],[Resolution_Date]]="NA","Unresolved","Resolved")</f>
        <v>Resolved</v>
      </c>
      <c r="K682">
        <f>IF(Table1[[#This Row],[Resolution_Date]]="NA"," ",Table1[[#This Row],[Resolution_Date]]-Table1[[#This Row],[Complaint_Date]])</f>
        <v>2</v>
      </c>
      <c r="L682" t="str">
        <f>TEXT(Table1[[#This Row],[Complaint_Date]],"MMM")</f>
        <v>Mar</v>
      </c>
      <c r="M682" t="str">
        <f>IF(Table1[[#This Row],[Resolution_Time_Hours]]&lt;=24,"Fast",IF(Table1[[#This Row],[Resolution_Time_Hours]]&lt;=72,"Medium","Slow"))</f>
        <v>Medium</v>
      </c>
    </row>
    <row r="683" spans="1:13" x14ac:dyDescent="0.3">
      <c r="A683" t="s">
        <v>1722</v>
      </c>
      <c r="B683" t="s">
        <v>1723</v>
      </c>
      <c r="C683" t="s">
        <v>53</v>
      </c>
      <c r="D683" t="s">
        <v>18</v>
      </c>
      <c r="E683" s="2" t="s">
        <v>85</v>
      </c>
      <c r="F683">
        <v>10</v>
      </c>
      <c r="G683" t="s">
        <v>20</v>
      </c>
      <c r="H683" s="2" t="s">
        <v>85</v>
      </c>
      <c r="I683">
        <v>4</v>
      </c>
      <c r="J683" t="str">
        <f>IF(Table1[[#This Row],[Resolution_Date]]="NA","Unresolved","Resolved")</f>
        <v>Resolved</v>
      </c>
      <c r="K683">
        <f>IF(Table1[[#This Row],[Resolution_Date]]="NA"," ",Table1[[#This Row],[Resolution_Date]]-Table1[[#This Row],[Complaint_Date]])</f>
        <v>0</v>
      </c>
      <c r="L683" t="str">
        <f>TEXT(Table1[[#This Row],[Complaint_Date]],"MMM")</f>
        <v>Mar</v>
      </c>
      <c r="M683" t="str">
        <f>IF(Table1[[#This Row],[Resolution_Time_Hours]]&lt;=24,"Fast",IF(Table1[[#This Row],[Resolution_Time_Hours]]&lt;=72,"Medium","Slow"))</f>
        <v>Fast</v>
      </c>
    </row>
    <row r="684" spans="1:13" x14ac:dyDescent="0.3">
      <c r="A684" t="s">
        <v>1724</v>
      </c>
      <c r="B684" t="s">
        <v>1725</v>
      </c>
      <c r="C684" t="s">
        <v>17</v>
      </c>
      <c r="D684" t="s">
        <v>18</v>
      </c>
      <c r="E684" s="2" t="s">
        <v>103</v>
      </c>
      <c r="F684">
        <v>8</v>
      </c>
      <c r="G684" t="s">
        <v>20</v>
      </c>
      <c r="H684" s="2" t="s">
        <v>103</v>
      </c>
      <c r="I684">
        <v>5</v>
      </c>
      <c r="J684" t="str">
        <f>IF(Table1[[#This Row],[Resolution_Date]]="NA","Unresolved","Resolved")</f>
        <v>Resolved</v>
      </c>
      <c r="K684">
        <f>IF(Table1[[#This Row],[Resolution_Date]]="NA"," ",Table1[[#This Row],[Resolution_Date]]-Table1[[#This Row],[Complaint_Date]])</f>
        <v>0</v>
      </c>
      <c r="L684" t="str">
        <f>TEXT(Table1[[#This Row],[Complaint_Date]],"MMM")</f>
        <v>Apr</v>
      </c>
      <c r="M684" t="str">
        <f>IF(Table1[[#This Row],[Resolution_Time_Hours]]&lt;=24,"Fast",IF(Table1[[#This Row],[Resolution_Time_Hours]]&lt;=72,"Medium","Slow"))</f>
        <v>Fast</v>
      </c>
    </row>
    <row r="685" spans="1:13" x14ac:dyDescent="0.3">
      <c r="A685" t="s">
        <v>1726</v>
      </c>
      <c r="B685" t="s">
        <v>1727</v>
      </c>
      <c r="C685" t="s">
        <v>110</v>
      </c>
      <c r="D685" t="s">
        <v>27</v>
      </c>
      <c r="E685" s="2" t="s">
        <v>392</v>
      </c>
      <c r="F685">
        <v>19</v>
      </c>
      <c r="G685" t="s">
        <v>40</v>
      </c>
      <c r="H685" s="2" t="s">
        <v>2820</v>
      </c>
      <c r="J685" t="str">
        <f>IF(Table1[[#This Row],[Resolution_Date]]="NA","Unresolved","Resolved")</f>
        <v>Unresolved</v>
      </c>
      <c r="K685" t="str">
        <f>IF(Table1[[#This Row],[Resolution_Date]]="NA"," ",Table1[[#This Row],[Resolution_Date]]-Table1[[#This Row],[Complaint_Date]])</f>
        <v xml:space="preserve"> </v>
      </c>
      <c r="L685" t="str">
        <f>TEXT(Table1[[#This Row],[Complaint_Date]],"MMM")</f>
        <v>Aug</v>
      </c>
      <c r="M685" t="str">
        <f>IF(Table1[[#This Row],[Resolution_Time_Hours]]&lt;=24,"Fast",IF(Table1[[#This Row],[Resolution_Time_Hours]]&lt;=72,"Medium","Slow"))</f>
        <v>Fast</v>
      </c>
    </row>
    <row r="686" spans="1:13" x14ac:dyDescent="0.3">
      <c r="A686" t="s">
        <v>1728</v>
      </c>
      <c r="B686" t="s">
        <v>1729</v>
      </c>
      <c r="C686" t="s">
        <v>17</v>
      </c>
      <c r="D686" t="s">
        <v>95</v>
      </c>
      <c r="E686" s="2" t="s">
        <v>363</v>
      </c>
      <c r="F686">
        <v>21</v>
      </c>
      <c r="G686" t="s">
        <v>40</v>
      </c>
      <c r="H686" s="2" t="s">
        <v>2820</v>
      </c>
      <c r="J686" t="str">
        <f>IF(Table1[[#This Row],[Resolution_Date]]="NA","Unresolved","Resolved")</f>
        <v>Unresolved</v>
      </c>
      <c r="K686" t="str">
        <f>IF(Table1[[#This Row],[Resolution_Date]]="NA"," ",Table1[[#This Row],[Resolution_Date]]-Table1[[#This Row],[Complaint_Date]])</f>
        <v xml:space="preserve"> </v>
      </c>
      <c r="L686" t="str">
        <f>TEXT(Table1[[#This Row],[Complaint_Date]],"MMM")</f>
        <v>Nov</v>
      </c>
      <c r="M686" t="str">
        <f>IF(Table1[[#This Row],[Resolution_Time_Hours]]&lt;=24,"Fast",IF(Table1[[#This Row],[Resolution_Time_Hours]]&lt;=72,"Medium","Slow"))</f>
        <v>Fast</v>
      </c>
    </row>
    <row r="687" spans="1:13" x14ac:dyDescent="0.3">
      <c r="A687" t="s">
        <v>1730</v>
      </c>
      <c r="B687" t="s">
        <v>1731</v>
      </c>
      <c r="C687" t="s">
        <v>53</v>
      </c>
      <c r="D687" t="s">
        <v>38</v>
      </c>
      <c r="E687" s="2" t="s">
        <v>1732</v>
      </c>
      <c r="F687">
        <v>10</v>
      </c>
      <c r="G687" t="s">
        <v>40</v>
      </c>
      <c r="H687" s="2" t="s">
        <v>2820</v>
      </c>
      <c r="J687" t="str">
        <f>IF(Table1[[#This Row],[Resolution_Date]]="NA","Unresolved","Resolved")</f>
        <v>Unresolved</v>
      </c>
      <c r="K687" t="str">
        <f>IF(Table1[[#This Row],[Resolution_Date]]="NA"," ",Table1[[#This Row],[Resolution_Date]]-Table1[[#This Row],[Complaint_Date]])</f>
        <v xml:space="preserve"> </v>
      </c>
      <c r="L687" t="str">
        <f>TEXT(Table1[[#This Row],[Complaint_Date]],"MMM")</f>
        <v>Sep</v>
      </c>
      <c r="M687" t="str">
        <f>IF(Table1[[#This Row],[Resolution_Time_Hours]]&lt;=24,"Fast",IF(Table1[[#This Row],[Resolution_Time_Hours]]&lt;=72,"Medium","Slow"))</f>
        <v>Fast</v>
      </c>
    </row>
    <row r="688" spans="1:13" x14ac:dyDescent="0.3">
      <c r="A688" t="s">
        <v>1733</v>
      </c>
      <c r="B688" t="s">
        <v>1734</v>
      </c>
      <c r="C688" t="s">
        <v>53</v>
      </c>
      <c r="D688" t="s">
        <v>95</v>
      </c>
      <c r="E688" s="2" t="s">
        <v>686</v>
      </c>
      <c r="F688">
        <v>4</v>
      </c>
      <c r="G688" t="s">
        <v>20</v>
      </c>
      <c r="H688" s="2" t="s">
        <v>686</v>
      </c>
      <c r="I688">
        <v>5</v>
      </c>
      <c r="J688" t="str">
        <f>IF(Table1[[#This Row],[Resolution_Date]]="NA","Unresolved","Resolved")</f>
        <v>Resolved</v>
      </c>
      <c r="K688">
        <f>IF(Table1[[#This Row],[Resolution_Date]]="NA"," ",Table1[[#This Row],[Resolution_Date]]-Table1[[#This Row],[Complaint_Date]])</f>
        <v>0</v>
      </c>
      <c r="L688" t="str">
        <f>TEXT(Table1[[#This Row],[Complaint_Date]],"MMM")</f>
        <v>Nov</v>
      </c>
      <c r="M688" t="str">
        <f>IF(Table1[[#This Row],[Resolution_Time_Hours]]&lt;=24,"Fast",IF(Table1[[#This Row],[Resolution_Time_Hours]]&lt;=72,"Medium","Slow"))</f>
        <v>Fast</v>
      </c>
    </row>
    <row r="689" spans="1:13" x14ac:dyDescent="0.3">
      <c r="A689" t="s">
        <v>1735</v>
      </c>
      <c r="B689" t="s">
        <v>1736</v>
      </c>
      <c r="C689" t="s">
        <v>110</v>
      </c>
      <c r="D689" t="s">
        <v>18</v>
      </c>
      <c r="E689" s="2" t="s">
        <v>1274</v>
      </c>
      <c r="F689">
        <v>21</v>
      </c>
      <c r="G689" t="s">
        <v>20</v>
      </c>
      <c r="H689" s="2" t="s">
        <v>1274</v>
      </c>
      <c r="I689">
        <v>3</v>
      </c>
      <c r="J689" t="str">
        <f>IF(Table1[[#This Row],[Resolution_Date]]="NA","Unresolved","Resolved")</f>
        <v>Resolved</v>
      </c>
      <c r="K689">
        <f>IF(Table1[[#This Row],[Resolution_Date]]="NA"," ",Table1[[#This Row],[Resolution_Date]]-Table1[[#This Row],[Complaint_Date]])</f>
        <v>0</v>
      </c>
      <c r="L689" t="str">
        <f>TEXT(Table1[[#This Row],[Complaint_Date]],"MMM")</f>
        <v>Mar</v>
      </c>
      <c r="M689" t="str">
        <f>IF(Table1[[#This Row],[Resolution_Time_Hours]]&lt;=24,"Fast",IF(Table1[[#This Row],[Resolution_Time_Hours]]&lt;=72,"Medium","Slow"))</f>
        <v>Fast</v>
      </c>
    </row>
    <row r="690" spans="1:13" x14ac:dyDescent="0.3">
      <c r="A690" t="s">
        <v>1737</v>
      </c>
      <c r="B690" t="s">
        <v>1738</v>
      </c>
      <c r="C690" t="s">
        <v>70</v>
      </c>
      <c r="D690" t="s">
        <v>27</v>
      </c>
      <c r="E690" s="2" t="s">
        <v>903</v>
      </c>
      <c r="F690">
        <v>14</v>
      </c>
      <c r="G690" t="s">
        <v>20</v>
      </c>
      <c r="H690" s="2" t="s">
        <v>903</v>
      </c>
      <c r="I690">
        <v>5</v>
      </c>
      <c r="J690" t="str">
        <f>IF(Table1[[#This Row],[Resolution_Date]]="NA","Unresolved","Resolved")</f>
        <v>Resolved</v>
      </c>
      <c r="K690">
        <f>IF(Table1[[#This Row],[Resolution_Date]]="NA"," ",Table1[[#This Row],[Resolution_Date]]-Table1[[#This Row],[Complaint_Date]])</f>
        <v>0</v>
      </c>
      <c r="L690" t="str">
        <f>TEXT(Table1[[#This Row],[Complaint_Date]],"MMM")</f>
        <v>Feb</v>
      </c>
      <c r="M690" t="str">
        <f>IF(Table1[[#This Row],[Resolution_Time_Hours]]&lt;=24,"Fast",IF(Table1[[#This Row],[Resolution_Time_Hours]]&lt;=72,"Medium","Slow"))</f>
        <v>Fast</v>
      </c>
    </row>
    <row r="691" spans="1:13" x14ac:dyDescent="0.3">
      <c r="A691" t="s">
        <v>1739</v>
      </c>
      <c r="B691" t="s">
        <v>1740</v>
      </c>
      <c r="C691" t="s">
        <v>48</v>
      </c>
      <c r="D691" t="s">
        <v>12</v>
      </c>
      <c r="E691" s="2" t="s">
        <v>595</v>
      </c>
      <c r="F691">
        <v>60</v>
      </c>
      <c r="G691" t="s">
        <v>20</v>
      </c>
      <c r="H691" s="2" t="s">
        <v>1741</v>
      </c>
      <c r="I691">
        <v>1</v>
      </c>
      <c r="J691" t="str">
        <f>IF(Table1[[#This Row],[Resolution_Date]]="NA","Unresolved","Resolved")</f>
        <v>Resolved</v>
      </c>
      <c r="K691">
        <f>IF(Table1[[#This Row],[Resolution_Date]]="NA"," ",Table1[[#This Row],[Resolution_Date]]-Table1[[#This Row],[Complaint_Date]])</f>
        <v>2</v>
      </c>
      <c r="L691" t="str">
        <f>TEXT(Table1[[#This Row],[Complaint_Date]],"MMM")</f>
        <v>Apr</v>
      </c>
      <c r="M691" t="str">
        <f>IF(Table1[[#This Row],[Resolution_Time_Hours]]&lt;=24,"Fast",IF(Table1[[#This Row],[Resolution_Time_Hours]]&lt;=72,"Medium","Slow"))</f>
        <v>Medium</v>
      </c>
    </row>
    <row r="692" spans="1:13" x14ac:dyDescent="0.3">
      <c r="A692" t="s">
        <v>1742</v>
      </c>
      <c r="B692" t="s">
        <v>1743</v>
      </c>
      <c r="C692" t="s">
        <v>43</v>
      </c>
      <c r="D692" t="s">
        <v>38</v>
      </c>
      <c r="E692" s="2" t="s">
        <v>812</v>
      </c>
      <c r="F692">
        <v>26</v>
      </c>
      <c r="G692" t="s">
        <v>20</v>
      </c>
      <c r="H692" s="2" t="s">
        <v>96</v>
      </c>
      <c r="I692">
        <v>2</v>
      </c>
      <c r="J692" t="str">
        <f>IF(Table1[[#This Row],[Resolution_Date]]="NA","Unresolved","Resolved")</f>
        <v>Resolved</v>
      </c>
      <c r="K692">
        <f>IF(Table1[[#This Row],[Resolution_Date]]="NA"," ",Table1[[#This Row],[Resolution_Date]]-Table1[[#This Row],[Complaint_Date]])</f>
        <v>1</v>
      </c>
      <c r="L692" t="str">
        <f>TEXT(Table1[[#This Row],[Complaint_Date]],"MMM")</f>
        <v>Feb</v>
      </c>
      <c r="M692" t="str">
        <f>IF(Table1[[#This Row],[Resolution_Time_Hours]]&lt;=24,"Fast",IF(Table1[[#This Row],[Resolution_Time_Hours]]&lt;=72,"Medium","Slow"))</f>
        <v>Medium</v>
      </c>
    </row>
    <row r="693" spans="1:13" x14ac:dyDescent="0.3">
      <c r="A693" t="s">
        <v>1744</v>
      </c>
      <c r="B693" t="s">
        <v>1745</v>
      </c>
      <c r="C693" t="s">
        <v>34</v>
      </c>
      <c r="D693" t="s">
        <v>38</v>
      </c>
      <c r="E693" s="2" t="s">
        <v>247</v>
      </c>
      <c r="F693">
        <v>95</v>
      </c>
      <c r="G693" t="s">
        <v>20</v>
      </c>
      <c r="H693" s="2" t="s">
        <v>514</v>
      </c>
      <c r="I693">
        <v>1</v>
      </c>
      <c r="J693" t="str">
        <f>IF(Table1[[#This Row],[Resolution_Date]]="NA","Unresolved","Resolved")</f>
        <v>Resolved</v>
      </c>
      <c r="K693">
        <f>IF(Table1[[#This Row],[Resolution_Date]]="NA"," ",Table1[[#This Row],[Resolution_Date]]-Table1[[#This Row],[Complaint_Date]])</f>
        <v>3</v>
      </c>
      <c r="L693" t="str">
        <f>TEXT(Table1[[#This Row],[Complaint_Date]],"MMM")</f>
        <v>Jan</v>
      </c>
      <c r="M693" t="str">
        <f>IF(Table1[[#This Row],[Resolution_Time_Hours]]&lt;=24,"Fast",IF(Table1[[#This Row],[Resolution_Time_Hours]]&lt;=72,"Medium","Slow"))</f>
        <v>Slow</v>
      </c>
    </row>
    <row r="694" spans="1:13" x14ac:dyDescent="0.3">
      <c r="A694" t="s">
        <v>1746</v>
      </c>
      <c r="B694" t="s">
        <v>1747</v>
      </c>
      <c r="C694" t="s">
        <v>34</v>
      </c>
      <c r="D694" t="s">
        <v>38</v>
      </c>
      <c r="E694" s="2" t="s">
        <v>1748</v>
      </c>
      <c r="F694">
        <v>30</v>
      </c>
      <c r="G694" t="s">
        <v>20</v>
      </c>
      <c r="H694" s="2" t="s">
        <v>1208</v>
      </c>
      <c r="I694">
        <v>5</v>
      </c>
      <c r="J694" t="str">
        <f>IF(Table1[[#This Row],[Resolution_Date]]="NA","Unresolved","Resolved")</f>
        <v>Resolved</v>
      </c>
      <c r="K694">
        <f>IF(Table1[[#This Row],[Resolution_Date]]="NA"," ",Table1[[#This Row],[Resolution_Date]]-Table1[[#This Row],[Complaint_Date]])</f>
        <v>1</v>
      </c>
      <c r="L694" t="str">
        <f>TEXT(Table1[[#This Row],[Complaint_Date]],"MMM")</f>
        <v>Jul</v>
      </c>
      <c r="M694" t="str">
        <f>IF(Table1[[#This Row],[Resolution_Time_Hours]]&lt;=24,"Fast",IF(Table1[[#This Row],[Resolution_Time_Hours]]&lt;=72,"Medium","Slow"))</f>
        <v>Medium</v>
      </c>
    </row>
    <row r="695" spans="1:13" x14ac:dyDescent="0.3">
      <c r="A695" t="s">
        <v>1749</v>
      </c>
      <c r="B695" t="s">
        <v>1750</v>
      </c>
      <c r="C695" t="s">
        <v>48</v>
      </c>
      <c r="D695" t="s">
        <v>12</v>
      </c>
      <c r="E695" s="2" t="s">
        <v>477</v>
      </c>
      <c r="F695">
        <v>10</v>
      </c>
      <c r="G695" t="s">
        <v>20</v>
      </c>
      <c r="H695" s="2" t="s">
        <v>477</v>
      </c>
      <c r="I695">
        <v>4</v>
      </c>
      <c r="J695" t="str">
        <f>IF(Table1[[#This Row],[Resolution_Date]]="NA","Unresolved","Resolved")</f>
        <v>Resolved</v>
      </c>
      <c r="K695">
        <f>IF(Table1[[#This Row],[Resolution_Date]]="NA"," ",Table1[[#This Row],[Resolution_Date]]-Table1[[#This Row],[Complaint_Date]])</f>
        <v>0</v>
      </c>
      <c r="L695" t="str">
        <f>TEXT(Table1[[#This Row],[Complaint_Date]],"MMM")</f>
        <v>Oct</v>
      </c>
      <c r="M695" t="str">
        <f>IF(Table1[[#This Row],[Resolution_Time_Hours]]&lt;=24,"Fast",IF(Table1[[#This Row],[Resolution_Time_Hours]]&lt;=72,"Medium","Slow"))</f>
        <v>Fast</v>
      </c>
    </row>
    <row r="696" spans="1:13" x14ac:dyDescent="0.3">
      <c r="A696" t="s">
        <v>1751</v>
      </c>
      <c r="B696" t="s">
        <v>1752</v>
      </c>
      <c r="C696" t="s">
        <v>17</v>
      </c>
      <c r="D696" t="s">
        <v>38</v>
      </c>
      <c r="E696" s="2" t="s">
        <v>343</v>
      </c>
      <c r="F696">
        <v>13</v>
      </c>
      <c r="G696" t="s">
        <v>20</v>
      </c>
      <c r="H696" s="2" t="s">
        <v>343</v>
      </c>
      <c r="I696">
        <v>3</v>
      </c>
      <c r="J696" t="str">
        <f>IF(Table1[[#This Row],[Resolution_Date]]="NA","Unresolved","Resolved")</f>
        <v>Resolved</v>
      </c>
      <c r="K696">
        <f>IF(Table1[[#This Row],[Resolution_Date]]="NA"," ",Table1[[#This Row],[Resolution_Date]]-Table1[[#This Row],[Complaint_Date]])</f>
        <v>0</v>
      </c>
      <c r="L696" t="str">
        <f>TEXT(Table1[[#This Row],[Complaint_Date]],"MMM")</f>
        <v>Sep</v>
      </c>
      <c r="M696" t="str">
        <f>IF(Table1[[#This Row],[Resolution_Time_Hours]]&lt;=24,"Fast",IF(Table1[[#This Row],[Resolution_Time_Hours]]&lt;=72,"Medium","Slow"))</f>
        <v>Fast</v>
      </c>
    </row>
    <row r="697" spans="1:13" x14ac:dyDescent="0.3">
      <c r="A697" t="s">
        <v>1753</v>
      </c>
      <c r="B697" t="s">
        <v>1754</v>
      </c>
      <c r="C697" t="s">
        <v>70</v>
      </c>
      <c r="D697" t="s">
        <v>95</v>
      </c>
      <c r="E697" s="2" t="s">
        <v>988</v>
      </c>
      <c r="F697">
        <v>12</v>
      </c>
      <c r="G697" t="s">
        <v>20</v>
      </c>
      <c r="H697" s="2" t="s">
        <v>988</v>
      </c>
      <c r="I697">
        <v>4</v>
      </c>
      <c r="J697" t="str">
        <f>IF(Table1[[#This Row],[Resolution_Date]]="NA","Unresolved","Resolved")</f>
        <v>Resolved</v>
      </c>
      <c r="K697">
        <f>IF(Table1[[#This Row],[Resolution_Date]]="NA"," ",Table1[[#This Row],[Resolution_Date]]-Table1[[#This Row],[Complaint_Date]])</f>
        <v>0</v>
      </c>
      <c r="L697" t="str">
        <f>TEXT(Table1[[#This Row],[Complaint_Date]],"MMM")</f>
        <v>Sep</v>
      </c>
      <c r="M697" t="str">
        <f>IF(Table1[[#This Row],[Resolution_Time_Hours]]&lt;=24,"Fast",IF(Table1[[#This Row],[Resolution_Time_Hours]]&lt;=72,"Medium","Slow"))</f>
        <v>Fast</v>
      </c>
    </row>
    <row r="698" spans="1:13" x14ac:dyDescent="0.3">
      <c r="A698" t="s">
        <v>1755</v>
      </c>
      <c r="B698" t="s">
        <v>1756</v>
      </c>
      <c r="C698" t="s">
        <v>110</v>
      </c>
      <c r="D698" t="s">
        <v>27</v>
      </c>
      <c r="E698" s="2" t="s">
        <v>446</v>
      </c>
      <c r="F698">
        <v>9</v>
      </c>
      <c r="G698" t="s">
        <v>20</v>
      </c>
      <c r="H698" s="2" t="s">
        <v>446</v>
      </c>
      <c r="I698">
        <v>4</v>
      </c>
      <c r="J698" t="str">
        <f>IF(Table1[[#This Row],[Resolution_Date]]="NA","Unresolved","Resolved")</f>
        <v>Resolved</v>
      </c>
      <c r="K698">
        <f>IF(Table1[[#This Row],[Resolution_Date]]="NA"," ",Table1[[#This Row],[Resolution_Date]]-Table1[[#This Row],[Complaint_Date]])</f>
        <v>0</v>
      </c>
      <c r="L698" t="str">
        <f>TEXT(Table1[[#This Row],[Complaint_Date]],"MMM")</f>
        <v>Nov</v>
      </c>
      <c r="M698" t="str">
        <f>IF(Table1[[#This Row],[Resolution_Time_Hours]]&lt;=24,"Fast",IF(Table1[[#This Row],[Resolution_Time_Hours]]&lt;=72,"Medium","Slow"))</f>
        <v>Fast</v>
      </c>
    </row>
    <row r="699" spans="1:13" x14ac:dyDescent="0.3">
      <c r="A699" t="s">
        <v>1757</v>
      </c>
      <c r="B699" t="s">
        <v>1758</v>
      </c>
      <c r="C699" t="s">
        <v>70</v>
      </c>
      <c r="D699" t="s">
        <v>38</v>
      </c>
      <c r="E699" s="2" t="s">
        <v>1428</v>
      </c>
      <c r="F699">
        <v>13</v>
      </c>
      <c r="G699" t="s">
        <v>40</v>
      </c>
      <c r="H699" s="2" t="s">
        <v>2820</v>
      </c>
      <c r="J699" t="str">
        <f>IF(Table1[[#This Row],[Resolution_Date]]="NA","Unresolved","Resolved")</f>
        <v>Unresolved</v>
      </c>
      <c r="K699" t="str">
        <f>IF(Table1[[#This Row],[Resolution_Date]]="NA"," ",Table1[[#This Row],[Resolution_Date]]-Table1[[#This Row],[Complaint_Date]])</f>
        <v xml:space="preserve"> </v>
      </c>
      <c r="L699" t="str">
        <f>TEXT(Table1[[#This Row],[Complaint_Date]],"MMM")</f>
        <v>Jun</v>
      </c>
      <c r="M699" t="str">
        <f>IF(Table1[[#This Row],[Resolution_Time_Hours]]&lt;=24,"Fast",IF(Table1[[#This Row],[Resolution_Time_Hours]]&lt;=72,"Medium","Slow"))</f>
        <v>Fast</v>
      </c>
    </row>
    <row r="700" spans="1:13" x14ac:dyDescent="0.3">
      <c r="A700" t="s">
        <v>1759</v>
      </c>
      <c r="B700" t="s">
        <v>1760</v>
      </c>
      <c r="C700" t="s">
        <v>53</v>
      </c>
      <c r="D700" t="s">
        <v>18</v>
      </c>
      <c r="E700" s="2" t="s">
        <v>474</v>
      </c>
      <c r="F700">
        <v>7</v>
      </c>
      <c r="G700" t="s">
        <v>20</v>
      </c>
      <c r="H700" s="2" t="s">
        <v>474</v>
      </c>
      <c r="I700">
        <v>4</v>
      </c>
      <c r="J700" t="str">
        <f>IF(Table1[[#This Row],[Resolution_Date]]="NA","Unresolved","Resolved")</f>
        <v>Resolved</v>
      </c>
      <c r="K700">
        <f>IF(Table1[[#This Row],[Resolution_Date]]="NA"," ",Table1[[#This Row],[Resolution_Date]]-Table1[[#This Row],[Complaint_Date]])</f>
        <v>0</v>
      </c>
      <c r="L700" t="str">
        <f>TEXT(Table1[[#This Row],[Complaint_Date]],"MMM")</f>
        <v>Oct</v>
      </c>
      <c r="M700" t="str">
        <f>IF(Table1[[#This Row],[Resolution_Time_Hours]]&lt;=24,"Fast",IF(Table1[[#This Row],[Resolution_Time_Hours]]&lt;=72,"Medium","Slow"))</f>
        <v>Fast</v>
      </c>
    </row>
    <row r="701" spans="1:13" x14ac:dyDescent="0.3">
      <c r="A701" t="s">
        <v>1761</v>
      </c>
      <c r="B701" t="s">
        <v>1762</v>
      </c>
      <c r="C701" t="s">
        <v>48</v>
      </c>
      <c r="D701" t="s">
        <v>18</v>
      </c>
      <c r="E701" s="2" t="s">
        <v>60</v>
      </c>
      <c r="F701">
        <v>11</v>
      </c>
      <c r="G701" t="s">
        <v>20</v>
      </c>
      <c r="H701" s="2" t="s">
        <v>60</v>
      </c>
      <c r="I701">
        <v>5</v>
      </c>
      <c r="J701" t="str">
        <f>IF(Table1[[#This Row],[Resolution_Date]]="NA","Unresolved","Resolved")</f>
        <v>Resolved</v>
      </c>
      <c r="K701">
        <f>IF(Table1[[#This Row],[Resolution_Date]]="NA"," ",Table1[[#This Row],[Resolution_Date]]-Table1[[#This Row],[Complaint_Date]])</f>
        <v>0</v>
      </c>
      <c r="L701" t="str">
        <f>TEXT(Table1[[#This Row],[Complaint_Date]],"MMM")</f>
        <v>Sep</v>
      </c>
      <c r="M701" t="str">
        <f>IF(Table1[[#This Row],[Resolution_Time_Hours]]&lt;=24,"Fast",IF(Table1[[#This Row],[Resolution_Time_Hours]]&lt;=72,"Medium","Slow"))</f>
        <v>Fast</v>
      </c>
    </row>
    <row r="702" spans="1:13" x14ac:dyDescent="0.3">
      <c r="A702" t="s">
        <v>1763</v>
      </c>
      <c r="B702" t="s">
        <v>1764</v>
      </c>
      <c r="C702" t="s">
        <v>110</v>
      </c>
      <c r="D702" t="s">
        <v>18</v>
      </c>
      <c r="E702" s="2" t="s">
        <v>31</v>
      </c>
      <c r="F702">
        <v>12</v>
      </c>
      <c r="G702" t="s">
        <v>20</v>
      </c>
      <c r="H702" s="2" t="s">
        <v>31</v>
      </c>
      <c r="I702">
        <v>5</v>
      </c>
      <c r="J702" t="str">
        <f>IF(Table1[[#This Row],[Resolution_Date]]="NA","Unresolved","Resolved")</f>
        <v>Resolved</v>
      </c>
      <c r="K702">
        <f>IF(Table1[[#This Row],[Resolution_Date]]="NA"," ",Table1[[#This Row],[Resolution_Date]]-Table1[[#This Row],[Complaint_Date]])</f>
        <v>0</v>
      </c>
      <c r="L702" t="str">
        <f>TEXT(Table1[[#This Row],[Complaint_Date]],"MMM")</f>
        <v>Mar</v>
      </c>
      <c r="M702" t="str">
        <f>IF(Table1[[#This Row],[Resolution_Time_Hours]]&lt;=24,"Fast",IF(Table1[[#This Row],[Resolution_Time_Hours]]&lt;=72,"Medium","Slow"))</f>
        <v>Fast</v>
      </c>
    </row>
    <row r="703" spans="1:13" x14ac:dyDescent="0.3">
      <c r="A703" t="s">
        <v>1765</v>
      </c>
      <c r="B703" t="s">
        <v>1766</v>
      </c>
      <c r="C703" t="s">
        <v>53</v>
      </c>
      <c r="D703" t="s">
        <v>18</v>
      </c>
      <c r="E703" s="2" t="s">
        <v>261</v>
      </c>
      <c r="F703">
        <v>1</v>
      </c>
      <c r="G703" t="s">
        <v>20</v>
      </c>
      <c r="H703" s="2" t="s">
        <v>261</v>
      </c>
      <c r="I703">
        <v>5</v>
      </c>
      <c r="J703" t="str">
        <f>IF(Table1[[#This Row],[Resolution_Date]]="NA","Unresolved","Resolved")</f>
        <v>Resolved</v>
      </c>
      <c r="K703">
        <f>IF(Table1[[#This Row],[Resolution_Date]]="NA"," ",Table1[[#This Row],[Resolution_Date]]-Table1[[#This Row],[Complaint_Date]])</f>
        <v>0</v>
      </c>
      <c r="L703" t="str">
        <f>TEXT(Table1[[#This Row],[Complaint_Date]],"MMM")</f>
        <v>Mar</v>
      </c>
      <c r="M703" t="str">
        <f>IF(Table1[[#This Row],[Resolution_Time_Hours]]&lt;=24,"Fast",IF(Table1[[#This Row],[Resolution_Time_Hours]]&lt;=72,"Medium","Slow"))</f>
        <v>Fast</v>
      </c>
    </row>
    <row r="704" spans="1:13" x14ac:dyDescent="0.3">
      <c r="A704" t="s">
        <v>1767</v>
      </c>
      <c r="B704" t="s">
        <v>1768</v>
      </c>
      <c r="C704" t="s">
        <v>53</v>
      </c>
      <c r="D704" t="s">
        <v>18</v>
      </c>
      <c r="E704" s="2" t="s">
        <v>147</v>
      </c>
      <c r="F704">
        <v>5</v>
      </c>
      <c r="G704" t="s">
        <v>40</v>
      </c>
      <c r="H704" s="2" t="s">
        <v>2820</v>
      </c>
      <c r="J704" t="str">
        <f>IF(Table1[[#This Row],[Resolution_Date]]="NA","Unresolved","Resolved")</f>
        <v>Unresolved</v>
      </c>
      <c r="K704" t="str">
        <f>IF(Table1[[#This Row],[Resolution_Date]]="NA"," ",Table1[[#This Row],[Resolution_Date]]-Table1[[#This Row],[Complaint_Date]])</f>
        <v xml:space="preserve"> </v>
      </c>
      <c r="L704" t="str">
        <f>TEXT(Table1[[#This Row],[Complaint_Date]],"MMM")</f>
        <v>Aug</v>
      </c>
      <c r="M704" t="str">
        <f>IF(Table1[[#This Row],[Resolution_Time_Hours]]&lt;=24,"Fast",IF(Table1[[#This Row],[Resolution_Time_Hours]]&lt;=72,"Medium","Slow"))</f>
        <v>Fast</v>
      </c>
    </row>
    <row r="705" spans="1:13" x14ac:dyDescent="0.3">
      <c r="A705" t="s">
        <v>1769</v>
      </c>
      <c r="B705" t="s">
        <v>1770</v>
      </c>
      <c r="C705" t="s">
        <v>11</v>
      </c>
      <c r="D705" t="s">
        <v>95</v>
      </c>
      <c r="E705" s="2" t="s">
        <v>855</v>
      </c>
      <c r="F705">
        <v>44</v>
      </c>
      <c r="G705" t="s">
        <v>40</v>
      </c>
      <c r="H705" s="2" t="s">
        <v>2820</v>
      </c>
      <c r="J705" t="str">
        <f>IF(Table1[[#This Row],[Resolution_Date]]="NA","Unresolved","Resolved")</f>
        <v>Unresolved</v>
      </c>
      <c r="K705" t="str">
        <f>IF(Table1[[#This Row],[Resolution_Date]]="NA"," ",Table1[[#This Row],[Resolution_Date]]-Table1[[#This Row],[Complaint_Date]])</f>
        <v xml:space="preserve"> </v>
      </c>
      <c r="L705" t="str">
        <f>TEXT(Table1[[#This Row],[Complaint_Date]],"MMM")</f>
        <v>Dec</v>
      </c>
      <c r="M705" t="str">
        <f>IF(Table1[[#This Row],[Resolution_Time_Hours]]&lt;=24,"Fast",IF(Table1[[#This Row],[Resolution_Time_Hours]]&lt;=72,"Medium","Slow"))</f>
        <v>Medium</v>
      </c>
    </row>
    <row r="706" spans="1:13" x14ac:dyDescent="0.3">
      <c r="A706" t="s">
        <v>1771</v>
      </c>
      <c r="B706" t="s">
        <v>1772</v>
      </c>
      <c r="C706" t="s">
        <v>48</v>
      </c>
      <c r="D706" t="s">
        <v>12</v>
      </c>
      <c r="E706" s="2" t="s">
        <v>342</v>
      </c>
      <c r="F706">
        <v>33</v>
      </c>
      <c r="G706" t="s">
        <v>20</v>
      </c>
      <c r="H706" s="2" t="s">
        <v>1773</v>
      </c>
      <c r="I706">
        <v>2</v>
      </c>
      <c r="J706" t="str">
        <f>IF(Table1[[#This Row],[Resolution_Date]]="NA","Unresolved","Resolved")</f>
        <v>Resolved</v>
      </c>
      <c r="K706">
        <f>IF(Table1[[#This Row],[Resolution_Date]]="NA"," ",Table1[[#This Row],[Resolution_Date]]-Table1[[#This Row],[Complaint_Date]])</f>
        <v>1</v>
      </c>
      <c r="L706" t="str">
        <f>TEXT(Table1[[#This Row],[Complaint_Date]],"MMM")</f>
        <v>Sep</v>
      </c>
      <c r="M706" t="str">
        <f>IF(Table1[[#This Row],[Resolution_Time_Hours]]&lt;=24,"Fast",IF(Table1[[#This Row],[Resolution_Time_Hours]]&lt;=72,"Medium","Slow"))</f>
        <v>Medium</v>
      </c>
    </row>
    <row r="707" spans="1:13" x14ac:dyDescent="0.3">
      <c r="A707" t="s">
        <v>1774</v>
      </c>
      <c r="B707" t="s">
        <v>1775</v>
      </c>
      <c r="C707" t="s">
        <v>53</v>
      </c>
      <c r="D707" t="s">
        <v>27</v>
      </c>
      <c r="E707" s="2" t="s">
        <v>173</v>
      </c>
      <c r="F707">
        <v>6</v>
      </c>
      <c r="G707" t="s">
        <v>20</v>
      </c>
      <c r="H707" s="2" t="s">
        <v>173</v>
      </c>
      <c r="I707">
        <v>5</v>
      </c>
      <c r="J707" t="str">
        <f>IF(Table1[[#This Row],[Resolution_Date]]="NA","Unresolved","Resolved")</f>
        <v>Resolved</v>
      </c>
      <c r="K707">
        <f>IF(Table1[[#This Row],[Resolution_Date]]="NA"," ",Table1[[#This Row],[Resolution_Date]]-Table1[[#This Row],[Complaint_Date]])</f>
        <v>0</v>
      </c>
      <c r="L707" t="str">
        <f>TEXT(Table1[[#This Row],[Complaint_Date]],"MMM")</f>
        <v>Dec</v>
      </c>
      <c r="M707" t="str">
        <f>IF(Table1[[#This Row],[Resolution_Time_Hours]]&lt;=24,"Fast",IF(Table1[[#This Row],[Resolution_Time_Hours]]&lt;=72,"Medium","Slow"))</f>
        <v>Fast</v>
      </c>
    </row>
    <row r="708" spans="1:13" x14ac:dyDescent="0.3">
      <c r="A708" t="s">
        <v>1776</v>
      </c>
      <c r="B708" t="s">
        <v>1777</v>
      </c>
      <c r="C708" t="s">
        <v>48</v>
      </c>
      <c r="D708" t="s">
        <v>38</v>
      </c>
      <c r="E708" s="2" t="s">
        <v>342</v>
      </c>
      <c r="F708">
        <v>48</v>
      </c>
      <c r="G708" t="s">
        <v>20</v>
      </c>
      <c r="H708" s="2" t="s">
        <v>343</v>
      </c>
      <c r="I708">
        <v>2</v>
      </c>
      <c r="J708" t="str">
        <f>IF(Table1[[#This Row],[Resolution_Date]]="NA","Unresolved","Resolved")</f>
        <v>Resolved</v>
      </c>
      <c r="K708">
        <f>IF(Table1[[#This Row],[Resolution_Date]]="NA"," ",Table1[[#This Row],[Resolution_Date]]-Table1[[#This Row],[Complaint_Date]])</f>
        <v>2</v>
      </c>
      <c r="L708" t="str">
        <f>TEXT(Table1[[#This Row],[Complaint_Date]],"MMM")</f>
        <v>Sep</v>
      </c>
      <c r="M708" t="str">
        <f>IF(Table1[[#This Row],[Resolution_Time_Hours]]&lt;=24,"Fast",IF(Table1[[#This Row],[Resolution_Time_Hours]]&lt;=72,"Medium","Slow"))</f>
        <v>Medium</v>
      </c>
    </row>
    <row r="709" spans="1:13" x14ac:dyDescent="0.3">
      <c r="A709" t="s">
        <v>1778</v>
      </c>
      <c r="B709" t="s">
        <v>1779</v>
      </c>
      <c r="C709" t="s">
        <v>34</v>
      </c>
      <c r="D709" t="s">
        <v>18</v>
      </c>
      <c r="E709" s="2" t="s">
        <v>137</v>
      </c>
      <c r="F709">
        <v>66</v>
      </c>
      <c r="G709" t="s">
        <v>20</v>
      </c>
      <c r="H709" s="2" t="s">
        <v>1780</v>
      </c>
      <c r="I709">
        <v>1</v>
      </c>
      <c r="J709" t="str">
        <f>IF(Table1[[#This Row],[Resolution_Date]]="NA","Unresolved","Resolved")</f>
        <v>Resolved</v>
      </c>
      <c r="K709">
        <f>IF(Table1[[#This Row],[Resolution_Date]]="NA"," ",Table1[[#This Row],[Resolution_Date]]-Table1[[#This Row],[Complaint_Date]])</f>
        <v>2</v>
      </c>
      <c r="L709" t="str">
        <f>TEXT(Table1[[#This Row],[Complaint_Date]],"MMM")</f>
        <v>Mar</v>
      </c>
      <c r="M709" t="str">
        <f>IF(Table1[[#This Row],[Resolution_Time_Hours]]&lt;=24,"Fast",IF(Table1[[#This Row],[Resolution_Time_Hours]]&lt;=72,"Medium","Slow"))</f>
        <v>Medium</v>
      </c>
    </row>
    <row r="710" spans="1:13" x14ac:dyDescent="0.3">
      <c r="A710" t="s">
        <v>1781</v>
      </c>
      <c r="B710" t="s">
        <v>1782</v>
      </c>
      <c r="C710" t="s">
        <v>53</v>
      </c>
      <c r="D710" t="s">
        <v>95</v>
      </c>
      <c r="E710" s="2" t="s">
        <v>452</v>
      </c>
      <c r="F710">
        <v>5</v>
      </c>
      <c r="G710" t="s">
        <v>20</v>
      </c>
      <c r="H710" s="2" t="s">
        <v>452</v>
      </c>
      <c r="I710">
        <v>5</v>
      </c>
      <c r="J710" t="str">
        <f>IF(Table1[[#This Row],[Resolution_Date]]="NA","Unresolved","Resolved")</f>
        <v>Resolved</v>
      </c>
      <c r="K710">
        <f>IF(Table1[[#This Row],[Resolution_Date]]="NA"," ",Table1[[#This Row],[Resolution_Date]]-Table1[[#This Row],[Complaint_Date]])</f>
        <v>0</v>
      </c>
      <c r="L710" t="str">
        <f>TEXT(Table1[[#This Row],[Complaint_Date]],"MMM")</f>
        <v>Dec</v>
      </c>
      <c r="M710" t="str">
        <f>IF(Table1[[#This Row],[Resolution_Time_Hours]]&lt;=24,"Fast",IF(Table1[[#This Row],[Resolution_Time_Hours]]&lt;=72,"Medium","Slow"))</f>
        <v>Fast</v>
      </c>
    </row>
    <row r="711" spans="1:13" x14ac:dyDescent="0.3">
      <c r="A711" t="s">
        <v>1783</v>
      </c>
      <c r="B711" t="s">
        <v>1784</v>
      </c>
      <c r="C711" t="s">
        <v>34</v>
      </c>
      <c r="D711" t="s">
        <v>95</v>
      </c>
      <c r="E711" s="2" t="s">
        <v>1741</v>
      </c>
      <c r="F711">
        <v>69</v>
      </c>
      <c r="G711" t="s">
        <v>20</v>
      </c>
      <c r="H711" s="2" t="s">
        <v>423</v>
      </c>
      <c r="I711">
        <v>1</v>
      </c>
      <c r="J711" t="str">
        <f>IF(Table1[[#This Row],[Resolution_Date]]="NA","Unresolved","Resolved")</f>
        <v>Resolved</v>
      </c>
      <c r="K711">
        <f>IF(Table1[[#This Row],[Resolution_Date]]="NA"," ",Table1[[#This Row],[Resolution_Date]]-Table1[[#This Row],[Complaint_Date]])</f>
        <v>2</v>
      </c>
      <c r="L711" t="str">
        <f>TEXT(Table1[[#This Row],[Complaint_Date]],"MMM")</f>
        <v>Apr</v>
      </c>
      <c r="M711" t="str">
        <f>IF(Table1[[#This Row],[Resolution_Time_Hours]]&lt;=24,"Fast",IF(Table1[[#This Row],[Resolution_Time_Hours]]&lt;=72,"Medium","Slow"))</f>
        <v>Medium</v>
      </c>
    </row>
    <row r="712" spans="1:13" x14ac:dyDescent="0.3">
      <c r="A712" t="s">
        <v>1785</v>
      </c>
      <c r="B712" t="s">
        <v>1786</v>
      </c>
      <c r="C712" t="s">
        <v>17</v>
      </c>
      <c r="D712" t="s">
        <v>12</v>
      </c>
      <c r="E712" s="2" t="s">
        <v>654</v>
      </c>
      <c r="F712">
        <v>4</v>
      </c>
      <c r="G712" t="s">
        <v>40</v>
      </c>
      <c r="H712" s="2" t="s">
        <v>2820</v>
      </c>
      <c r="J712" t="str">
        <f>IF(Table1[[#This Row],[Resolution_Date]]="NA","Unresolved","Resolved")</f>
        <v>Unresolved</v>
      </c>
      <c r="K712" t="str">
        <f>IF(Table1[[#This Row],[Resolution_Date]]="NA"," ",Table1[[#This Row],[Resolution_Date]]-Table1[[#This Row],[Complaint_Date]])</f>
        <v xml:space="preserve"> </v>
      </c>
      <c r="L712" t="str">
        <f>TEXT(Table1[[#This Row],[Complaint_Date]],"MMM")</f>
        <v>Dec</v>
      </c>
      <c r="M712" t="str">
        <f>IF(Table1[[#This Row],[Resolution_Time_Hours]]&lt;=24,"Fast",IF(Table1[[#This Row],[Resolution_Time_Hours]]&lt;=72,"Medium","Slow"))</f>
        <v>Fast</v>
      </c>
    </row>
    <row r="713" spans="1:13" x14ac:dyDescent="0.3">
      <c r="A713" t="s">
        <v>1787</v>
      </c>
      <c r="B713" t="s">
        <v>1788</v>
      </c>
      <c r="C713" t="s">
        <v>48</v>
      </c>
      <c r="D713" t="s">
        <v>95</v>
      </c>
      <c r="E713" s="2" t="s">
        <v>386</v>
      </c>
      <c r="F713">
        <v>7</v>
      </c>
      <c r="G713" t="s">
        <v>20</v>
      </c>
      <c r="H713" s="2" t="s">
        <v>386</v>
      </c>
      <c r="I713">
        <v>4</v>
      </c>
      <c r="J713" t="str">
        <f>IF(Table1[[#This Row],[Resolution_Date]]="NA","Unresolved","Resolved")</f>
        <v>Resolved</v>
      </c>
      <c r="K713">
        <f>IF(Table1[[#This Row],[Resolution_Date]]="NA"," ",Table1[[#This Row],[Resolution_Date]]-Table1[[#This Row],[Complaint_Date]])</f>
        <v>0</v>
      </c>
      <c r="L713" t="str">
        <f>TEXT(Table1[[#This Row],[Complaint_Date]],"MMM")</f>
        <v>Jul</v>
      </c>
      <c r="M713" t="str">
        <f>IF(Table1[[#This Row],[Resolution_Time_Hours]]&lt;=24,"Fast",IF(Table1[[#This Row],[Resolution_Time_Hours]]&lt;=72,"Medium","Slow"))</f>
        <v>Fast</v>
      </c>
    </row>
    <row r="714" spans="1:13" x14ac:dyDescent="0.3">
      <c r="A714" t="s">
        <v>1789</v>
      </c>
      <c r="B714" t="s">
        <v>1790</v>
      </c>
      <c r="C714" t="s">
        <v>43</v>
      </c>
      <c r="D714" t="s">
        <v>18</v>
      </c>
      <c r="E714" s="2" t="s">
        <v>380</v>
      </c>
      <c r="F714">
        <v>53</v>
      </c>
      <c r="G714" t="s">
        <v>40</v>
      </c>
      <c r="H714" s="2" t="s">
        <v>2820</v>
      </c>
      <c r="J714" t="str">
        <f>IF(Table1[[#This Row],[Resolution_Date]]="NA","Unresolved","Resolved")</f>
        <v>Unresolved</v>
      </c>
      <c r="K714" t="str">
        <f>IF(Table1[[#This Row],[Resolution_Date]]="NA"," ",Table1[[#This Row],[Resolution_Date]]-Table1[[#This Row],[Complaint_Date]])</f>
        <v xml:space="preserve"> </v>
      </c>
      <c r="L714" t="str">
        <f>TEXT(Table1[[#This Row],[Complaint_Date]],"MMM")</f>
        <v>Apr</v>
      </c>
      <c r="M714" t="str">
        <f>IF(Table1[[#This Row],[Resolution_Time_Hours]]&lt;=24,"Fast",IF(Table1[[#This Row],[Resolution_Time_Hours]]&lt;=72,"Medium","Slow"))</f>
        <v>Medium</v>
      </c>
    </row>
    <row r="715" spans="1:13" x14ac:dyDescent="0.3">
      <c r="A715" t="s">
        <v>1791</v>
      </c>
      <c r="B715" t="s">
        <v>1792</v>
      </c>
      <c r="C715" t="s">
        <v>53</v>
      </c>
      <c r="D715" t="s">
        <v>12</v>
      </c>
      <c r="E715" s="2" t="s">
        <v>366</v>
      </c>
      <c r="F715">
        <v>3</v>
      </c>
      <c r="G715" t="s">
        <v>20</v>
      </c>
      <c r="H715" s="2" t="s">
        <v>366</v>
      </c>
      <c r="I715">
        <v>5</v>
      </c>
      <c r="J715" t="str">
        <f>IF(Table1[[#This Row],[Resolution_Date]]="NA","Unresolved","Resolved")</f>
        <v>Resolved</v>
      </c>
      <c r="K715">
        <f>IF(Table1[[#This Row],[Resolution_Date]]="NA"," ",Table1[[#This Row],[Resolution_Date]]-Table1[[#This Row],[Complaint_Date]])</f>
        <v>0</v>
      </c>
      <c r="L715" t="str">
        <f>TEXT(Table1[[#This Row],[Complaint_Date]],"MMM")</f>
        <v>Aug</v>
      </c>
      <c r="M715" t="str">
        <f>IF(Table1[[#This Row],[Resolution_Time_Hours]]&lt;=24,"Fast",IF(Table1[[#This Row],[Resolution_Time_Hours]]&lt;=72,"Medium","Slow"))</f>
        <v>Fast</v>
      </c>
    </row>
    <row r="716" spans="1:13" x14ac:dyDescent="0.3">
      <c r="A716" t="s">
        <v>1793</v>
      </c>
      <c r="B716" t="s">
        <v>1794</v>
      </c>
      <c r="C716" t="s">
        <v>48</v>
      </c>
      <c r="D716" t="s">
        <v>38</v>
      </c>
      <c r="E716" s="2" t="s">
        <v>489</v>
      </c>
      <c r="F716">
        <v>32</v>
      </c>
      <c r="G716" t="s">
        <v>20</v>
      </c>
      <c r="H716" s="2" t="s">
        <v>366</v>
      </c>
      <c r="I716">
        <v>2</v>
      </c>
      <c r="J716" t="str">
        <f>IF(Table1[[#This Row],[Resolution_Date]]="NA","Unresolved","Resolved")</f>
        <v>Resolved</v>
      </c>
      <c r="K716">
        <f>IF(Table1[[#This Row],[Resolution_Date]]="NA"," ",Table1[[#This Row],[Resolution_Date]]-Table1[[#This Row],[Complaint_Date]])</f>
        <v>1</v>
      </c>
      <c r="L716" t="str">
        <f>TEXT(Table1[[#This Row],[Complaint_Date]],"MMM")</f>
        <v>Aug</v>
      </c>
      <c r="M716" t="str">
        <f>IF(Table1[[#This Row],[Resolution_Time_Hours]]&lt;=24,"Fast",IF(Table1[[#This Row],[Resolution_Time_Hours]]&lt;=72,"Medium","Slow"))</f>
        <v>Medium</v>
      </c>
    </row>
    <row r="717" spans="1:13" x14ac:dyDescent="0.3">
      <c r="A717" t="s">
        <v>1795</v>
      </c>
      <c r="B717" t="s">
        <v>1796</v>
      </c>
      <c r="C717" t="s">
        <v>17</v>
      </c>
      <c r="D717" t="s">
        <v>18</v>
      </c>
      <c r="E717" s="2" t="s">
        <v>1089</v>
      </c>
      <c r="F717">
        <v>4</v>
      </c>
      <c r="G717" t="s">
        <v>14</v>
      </c>
      <c r="H717" s="2" t="s">
        <v>2820</v>
      </c>
      <c r="J717" t="str">
        <f>IF(Table1[[#This Row],[Resolution_Date]]="NA","Unresolved","Resolved")</f>
        <v>Unresolved</v>
      </c>
      <c r="K717" t="str">
        <f>IF(Table1[[#This Row],[Resolution_Date]]="NA"," ",Table1[[#This Row],[Resolution_Date]]-Table1[[#This Row],[Complaint_Date]])</f>
        <v xml:space="preserve"> </v>
      </c>
      <c r="L717" t="str">
        <f>TEXT(Table1[[#This Row],[Complaint_Date]],"MMM")</f>
        <v>Apr</v>
      </c>
      <c r="M717" t="str">
        <f>IF(Table1[[#This Row],[Resolution_Time_Hours]]&lt;=24,"Fast",IF(Table1[[#This Row],[Resolution_Time_Hours]]&lt;=72,"Medium","Slow"))</f>
        <v>Fast</v>
      </c>
    </row>
    <row r="718" spans="1:13" x14ac:dyDescent="0.3">
      <c r="A718" t="s">
        <v>1797</v>
      </c>
      <c r="B718" t="s">
        <v>1798</v>
      </c>
      <c r="C718" t="s">
        <v>34</v>
      </c>
      <c r="D718" t="s">
        <v>95</v>
      </c>
      <c r="E718" s="2" t="s">
        <v>74</v>
      </c>
      <c r="F718">
        <v>64</v>
      </c>
      <c r="G718" t="s">
        <v>20</v>
      </c>
      <c r="H718" s="2" t="s">
        <v>1071</v>
      </c>
      <c r="I718">
        <v>1</v>
      </c>
      <c r="J718" t="str">
        <f>IF(Table1[[#This Row],[Resolution_Date]]="NA","Unresolved","Resolved")</f>
        <v>Resolved</v>
      </c>
      <c r="K718">
        <f>IF(Table1[[#This Row],[Resolution_Date]]="NA"," ",Table1[[#This Row],[Resolution_Date]]-Table1[[#This Row],[Complaint_Date]])</f>
        <v>2</v>
      </c>
      <c r="L718" t="str">
        <f>TEXT(Table1[[#This Row],[Complaint_Date]],"MMM")</f>
        <v>Aug</v>
      </c>
      <c r="M718" t="str">
        <f>IF(Table1[[#This Row],[Resolution_Time_Hours]]&lt;=24,"Fast",IF(Table1[[#This Row],[Resolution_Time_Hours]]&lt;=72,"Medium","Slow"))</f>
        <v>Medium</v>
      </c>
    </row>
    <row r="719" spans="1:13" x14ac:dyDescent="0.3">
      <c r="A719" t="s">
        <v>1799</v>
      </c>
      <c r="B719" t="s">
        <v>1800</v>
      </c>
      <c r="C719" t="s">
        <v>48</v>
      </c>
      <c r="D719" t="s">
        <v>95</v>
      </c>
      <c r="E719" s="2" t="s">
        <v>767</v>
      </c>
      <c r="F719">
        <v>34</v>
      </c>
      <c r="G719" t="s">
        <v>20</v>
      </c>
      <c r="H719" s="2" t="s">
        <v>492</v>
      </c>
      <c r="I719">
        <v>5</v>
      </c>
      <c r="J719" t="str">
        <f>IF(Table1[[#This Row],[Resolution_Date]]="NA","Unresolved","Resolved")</f>
        <v>Resolved</v>
      </c>
      <c r="K719">
        <f>IF(Table1[[#This Row],[Resolution_Date]]="NA"," ",Table1[[#This Row],[Resolution_Date]]-Table1[[#This Row],[Complaint_Date]])</f>
        <v>1</v>
      </c>
      <c r="L719" t="str">
        <f>TEXT(Table1[[#This Row],[Complaint_Date]],"MMM")</f>
        <v>Oct</v>
      </c>
      <c r="M719" t="str">
        <f>IF(Table1[[#This Row],[Resolution_Time_Hours]]&lt;=24,"Fast",IF(Table1[[#This Row],[Resolution_Time_Hours]]&lt;=72,"Medium","Slow"))</f>
        <v>Medium</v>
      </c>
    </row>
    <row r="720" spans="1:13" x14ac:dyDescent="0.3">
      <c r="A720" t="s">
        <v>1801</v>
      </c>
      <c r="B720" t="s">
        <v>1802</v>
      </c>
      <c r="C720" t="s">
        <v>110</v>
      </c>
      <c r="D720" t="s">
        <v>12</v>
      </c>
      <c r="E720" s="2" t="s">
        <v>637</v>
      </c>
      <c r="F720">
        <v>4</v>
      </c>
      <c r="G720" t="s">
        <v>14</v>
      </c>
      <c r="H720" s="2" t="s">
        <v>2820</v>
      </c>
      <c r="J720" t="str">
        <f>IF(Table1[[#This Row],[Resolution_Date]]="NA","Unresolved","Resolved")</f>
        <v>Unresolved</v>
      </c>
      <c r="K720" t="str">
        <f>IF(Table1[[#This Row],[Resolution_Date]]="NA"," ",Table1[[#This Row],[Resolution_Date]]-Table1[[#This Row],[Complaint_Date]])</f>
        <v xml:space="preserve"> </v>
      </c>
      <c r="L720" t="str">
        <f>TEXT(Table1[[#This Row],[Complaint_Date]],"MMM")</f>
        <v>Feb</v>
      </c>
      <c r="M720" t="str">
        <f>IF(Table1[[#This Row],[Resolution_Time_Hours]]&lt;=24,"Fast",IF(Table1[[#This Row],[Resolution_Time_Hours]]&lt;=72,"Medium","Slow"))</f>
        <v>Fast</v>
      </c>
    </row>
    <row r="721" spans="1:13" x14ac:dyDescent="0.3">
      <c r="A721" t="s">
        <v>1803</v>
      </c>
      <c r="B721" t="s">
        <v>1804</v>
      </c>
      <c r="C721" t="s">
        <v>70</v>
      </c>
      <c r="D721" t="s">
        <v>27</v>
      </c>
      <c r="E721" s="2" t="s">
        <v>159</v>
      </c>
      <c r="F721">
        <v>9</v>
      </c>
      <c r="G721" t="s">
        <v>20</v>
      </c>
      <c r="H721" s="2" t="s">
        <v>159</v>
      </c>
      <c r="I721">
        <v>4</v>
      </c>
      <c r="J721" t="str">
        <f>IF(Table1[[#This Row],[Resolution_Date]]="NA","Unresolved","Resolved")</f>
        <v>Resolved</v>
      </c>
      <c r="K721">
        <f>IF(Table1[[#This Row],[Resolution_Date]]="NA"," ",Table1[[#This Row],[Resolution_Date]]-Table1[[#This Row],[Complaint_Date]])</f>
        <v>0</v>
      </c>
      <c r="L721" t="str">
        <f>TEXT(Table1[[#This Row],[Complaint_Date]],"MMM")</f>
        <v>May</v>
      </c>
      <c r="M721" t="str">
        <f>IF(Table1[[#This Row],[Resolution_Time_Hours]]&lt;=24,"Fast",IF(Table1[[#This Row],[Resolution_Time_Hours]]&lt;=72,"Medium","Slow"))</f>
        <v>Fast</v>
      </c>
    </row>
    <row r="722" spans="1:13" x14ac:dyDescent="0.3">
      <c r="A722" t="s">
        <v>1805</v>
      </c>
      <c r="B722" t="s">
        <v>1806</v>
      </c>
      <c r="C722" t="s">
        <v>70</v>
      </c>
      <c r="D722" t="s">
        <v>95</v>
      </c>
      <c r="E722" s="2" t="s">
        <v>106</v>
      </c>
      <c r="F722">
        <v>19</v>
      </c>
      <c r="G722" t="s">
        <v>20</v>
      </c>
      <c r="H722" s="2" t="s">
        <v>106</v>
      </c>
      <c r="I722">
        <v>3</v>
      </c>
      <c r="J722" t="str">
        <f>IF(Table1[[#This Row],[Resolution_Date]]="NA","Unresolved","Resolved")</f>
        <v>Resolved</v>
      </c>
      <c r="K722">
        <f>IF(Table1[[#This Row],[Resolution_Date]]="NA"," ",Table1[[#This Row],[Resolution_Date]]-Table1[[#This Row],[Complaint_Date]])</f>
        <v>0</v>
      </c>
      <c r="L722" t="str">
        <f>TEXT(Table1[[#This Row],[Complaint_Date]],"MMM")</f>
        <v>Sep</v>
      </c>
      <c r="M722" t="str">
        <f>IF(Table1[[#This Row],[Resolution_Time_Hours]]&lt;=24,"Fast",IF(Table1[[#This Row],[Resolution_Time_Hours]]&lt;=72,"Medium","Slow"))</f>
        <v>Fast</v>
      </c>
    </row>
    <row r="723" spans="1:13" x14ac:dyDescent="0.3">
      <c r="A723" t="s">
        <v>1807</v>
      </c>
      <c r="B723" t="s">
        <v>1808</v>
      </c>
      <c r="C723" t="s">
        <v>11</v>
      </c>
      <c r="D723" t="s">
        <v>95</v>
      </c>
      <c r="E723" s="2" t="s">
        <v>643</v>
      </c>
      <c r="F723">
        <v>36</v>
      </c>
      <c r="G723" t="s">
        <v>14</v>
      </c>
      <c r="H723" s="2" t="s">
        <v>2820</v>
      </c>
      <c r="J723" t="str">
        <f>IF(Table1[[#This Row],[Resolution_Date]]="NA","Unresolved","Resolved")</f>
        <v>Unresolved</v>
      </c>
      <c r="K723" t="str">
        <f>IF(Table1[[#This Row],[Resolution_Date]]="NA"," ",Table1[[#This Row],[Resolution_Date]]-Table1[[#This Row],[Complaint_Date]])</f>
        <v xml:space="preserve"> </v>
      </c>
      <c r="L723" t="str">
        <f>TEXT(Table1[[#This Row],[Complaint_Date]],"MMM")</f>
        <v>Sep</v>
      </c>
      <c r="M723" t="str">
        <f>IF(Table1[[#This Row],[Resolution_Time_Hours]]&lt;=24,"Fast",IF(Table1[[#This Row],[Resolution_Time_Hours]]&lt;=72,"Medium","Slow"))</f>
        <v>Medium</v>
      </c>
    </row>
    <row r="724" spans="1:13" x14ac:dyDescent="0.3">
      <c r="A724" t="s">
        <v>1809</v>
      </c>
      <c r="B724" t="s">
        <v>1810</v>
      </c>
      <c r="C724" t="s">
        <v>34</v>
      </c>
      <c r="D724" t="s">
        <v>18</v>
      </c>
      <c r="E724" s="2" t="s">
        <v>878</v>
      </c>
      <c r="F724">
        <v>29</v>
      </c>
      <c r="G724" t="s">
        <v>40</v>
      </c>
      <c r="H724" s="2" t="s">
        <v>2820</v>
      </c>
      <c r="J724" t="str">
        <f>IF(Table1[[#This Row],[Resolution_Date]]="NA","Unresolved","Resolved")</f>
        <v>Unresolved</v>
      </c>
      <c r="K724" t="str">
        <f>IF(Table1[[#This Row],[Resolution_Date]]="NA"," ",Table1[[#This Row],[Resolution_Date]]-Table1[[#This Row],[Complaint_Date]])</f>
        <v xml:space="preserve"> </v>
      </c>
      <c r="L724" t="str">
        <f>TEXT(Table1[[#This Row],[Complaint_Date]],"MMM")</f>
        <v>Jul</v>
      </c>
      <c r="M724" t="str">
        <f>IF(Table1[[#This Row],[Resolution_Time_Hours]]&lt;=24,"Fast",IF(Table1[[#This Row],[Resolution_Time_Hours]]&lt;=72,"Medium","Slow"))</f>
        <v>Medium</v>
      </c>
    </row>
    <row r="725" spans="1:13" x14ac:dyDescent="0.3">
      <c r="A725" t="s">
        <v>1811</v>
      </c>
      <c r="B725" t="s">
        <v>1812</v>
      </c>
      <c r="C725" t="s">
        <v>34</v>
      </c>
      <c r="D725" t="s">
        <v>27</v>
      </c>
      <c r="E725" s="2" t="s">
        <v>632</v>
      </c>
      <c r="F725">
        <v>37</v>
      </c>
      <c r="G725" t="s">
        <v>40</v>
      </c>
      <c r="H725" s="2" t="s">
        <v>2820</v>
      </c>
      <c r="J725" t="str">
        <f>IF(Table1[[#This Row],[Resolution_Date]]="NA","Unresolved","Resolved")</f>
        <v>Unresolved</v>
      </c>
      <c r="K725" t="str">
        <f>IF(Table1[[#This Row],[Resolution_Date]]="NA"," ",Table1[[#This Row],[Resolution_Date]]-Table1[[#This Row],[Complaint_Date]])</f>
        <v xml:space="preserve"> </v>
      </c>
      <c r="L725" t="str">
        <f>TEXT(Table1[[#This Row],[Complaint_Date]],"MMM")</f>
        <v>Mar</v>
      </c>
      <c r="M725" t="str">
        <f>IF(Table1[[#This Row],[Resolution_Time_Hours]]&lt;=24,"Fast",IF(Table1[[#This Row],[Resolution_Time_Hours]]&lt;=72,"Medium","Slow"))</f>
        <v>Medium</v>
      </c>
    </row>
    <row r="726" spans="1:13" x14ac:dyDescent="0.3">
      <c r="A726" t="s">
        <v>1813</v>
      </c>
      <c r="B726" t="s">
        <v>1814</v>
      </c>
      <c r="C726" t="s">
        <v>34</v>
      </c>
      <c r="D726" t="s">
        <v>38</v>
      </c>
      <c r="E726" s="2" t="s">
        <v>594</v>
      </c>
      <c r="F726">
        <v>58</v>
      </c>
      <c r="G726" t="s">
        <v>20</v>
      </c>
      <c r="H726" s="2" t="s">
        <v>1089</v>
      </c>
      <c r="I726">
        <v>1</v>
      </c>
      <c r="J726" t="str">
        <f>IF(Table1[[#This Row],[Resolution_Date]]="NA","Unresolved","Resolved")</f>
        <v>Resolved</v>
      </c>
      <c r="K726">
        <f>IF(Table1[[#This Row],[Resolution_Date]]="NA"," ",Table1[[#This Row],[Resolution_Date]]-Table1[[#This Row],[Complaint_Date]])</f>
        <v>2</v>
      </c>
      <c r="L726" t="str">
        <f>TEXT(Table1[[#This Row],[Complaint_Date]],"MMM")</f>
        <v>Apr</v>
      </c>
      <c r="M726" t="str">
        <f>IF(Table1[[#This Row],[Resolution_Time_Hours]]&lt;=24,"Fast",IF(Table1[[#This Row],[Resolution_Time_Hours]]&lt;=72,"Medium","Slow"))</f>
        <v>Medium</v>
      </c>
    </row>
    <row r="727" spans="1:13" x14ac:dyDescent="0.3">
      <c r="A727" t="s">
        <v>1815</v>
      </c>
      <c r="B727" t="s">
        <v>1816</v>
      </c>
      <c r="C727" t="s">
        <v>53</v>
      </c>
      <c r="D727" t="s">
        <v>18</v>
      </c>
      <c r="E727" s="2" t="s">
        <v>529</v>
      </c>
      <c r="F727">
        <v>11</v>
      </c>
      <c r="G727" t="s">
        <v>40</v>
      </c>
      <c r="H727" s="2" t="s">
        <v>2820</v>
      </c>
      <c r="J727" t="str">
        <f>IF(Table1[[#This Row],[Resolution_Date]]="NA","Unresolved","Resolved")</f>
        <v>Unresolved</v>
      </c>
      <c r="K727" t="str">
        <f>IF(Table1[[#This Row],[Resolution_Date]]="NA"," ",Table1[[#This Row],[Resolution_Date]]-Table1[[#This Row],[Complaint_Date]])</f>
        <v xml:space="preserve"> </v>
      </c>
      <c r="L727" t="str">
        <f>TEXT(Table1[[#This Row],[Complaint_Date]],"MMM")</f>
        <v>Dec</v>
      </c>
      <c r="M727" t="str">
        <f>IF(Table1[[#This Row],[Resolution_Time_Hours]]&lt;=24,"Fast",IF(Table1[[#This Row],[Resolution_Time_Hours]]&lt;=72,"Medium","Slow"))</f>
        <v>Fast</v>
      </c>
    </row>
    <row r="728" spans="1:13" x14ac:dyDescent="0.3">
      <c r="A728" t="s">
        <v>1817</v>
      </c>
      <c r="B728" t="s">
        <v>1818</v>
      </c>
      <c r="C728" t="s">
        <v>48</v>
      </c>
      <c r="D728" t="s">
        <v>12</v>
      </c>
      <c r="E728" s="2" t="s">
        <v>408</v>
      </c>
      <c r="F728">
        <v>70</v>
      </c>
      <c r="G728" t="s">
        <v>20</v>
      </c>
      <c r="H728" s="2" t="s">
        <v>878</v>
      </c>
      <c r="I728">
        <v>1</v>
      </c>
      <c r="J728" t="str">
        <f>IF(Table1[[#This Row],[Resolution_Date]]="NA","Unresolved","Resolved")</f>
        <v>Resolved</v>
      </c>
      <c r="K728">
        <f>IF(Table1[[#This Row],[Resolution_Date]]="NA"," ",Table1[[#This Row],[Resolution_Date]]-Table1[[#This Row],[Complaint_Date]])</f>
        <v>2</v>
      </c>
      <c r="L728" t="str">
        <f>TEXT(Table1[[#This Row],[Complaint_Date]],"MMM")</f>
        <v>Jul</v>
      </c>
      <c r="M728" t="str">
        <f>IF(Table1[[#This Row],[Resolution_Time_Hours]]&lt;=24,"Fast",IF(Table1[[#This Row],[Resolution_Time_Hours]]&lt;=72,"Medium","Slow"))</f>
        <v>Medium</v>
      </c>
    </row>
    <row r="729" spans="1:13" x14ac:dyDescent="0.3">
      <c r="A729" t="s">
        <v>1819</v>
      </c>
      <c r="B729" t="s">
        <v>1820</v>
      </c>
      <c r="C729" t="s">
        <v>34</v>
      </c>
      <c r="D729" t="s">
        <v>95</v>
      </c>
      <c r="E729" s="2" t="s">
        <v>452</v>
      </c>
      <c r="F729">
        <v>32</v>
      </c>
      <c r="G729" t="s">
        <v>14</v>
      </c>
      <c r="H729" s="2" t="s">
        <v>2820</v>
      </c>
      <c r="J729" t="str">
        <f>IF(Table1[[#This Row],[Resolution_Date]]="NA","Unresolved","Resolved")</f>
        <v>Unresolved</v>
      </c>
      <c r="K729" t="str">
        <f>IF(Table1[[#This Row],[Resolution_Date]]="NA"," ",Table1[[#This Row],[Resolution_Date]]-Table1[[#This Row],[Complaint_Date]])</f>
        <v xml:space="preserve"> </v>
      </c>
      <c r="L729" t="str">
        <f>TEXT(Table1[[#This Row],[Complaint_Date]],"MMM")</f>
        <v>Dec</v>
      </c>
      <c r="M729" t="str">
        <f>IF(Table1[[#This Row],[Resolution_Time_Hours]]&lt;=24,"Fast",IF(Table1[[#This Row],[Resolution_Time_Hours]]&lt;=72,"Medium","Slow"))</f>
        <v>Medium</v>
      </c>
    </row>
    <row r="730" spans="1:13" x14ac:dyDescent="0.3">
      <c r="A730" t="s">
        <v>1821</v>
      </c>
      <c r="B730" t="s">
        <v>1822</v>
      </c>
      <c r="C730" t="s">
        <v>70</v>
      </c>
      <c r="D730" t="s">
        <v>27</v>
      </c>
      <c r="E730" s="2" t="s">
        <v>333</v>
      </c>
      <c r="F730">
        <v>7</v>
      </c>
      <c r="G730" t="s">
        <v>20</v>
      </c>
      <c r="H730" s="2" t="s">
        <v>333</v>
      </c>
      <c r="I730">
        <v>4</v>
      </c>
      <c r="J730" t="str">
        <f>IF(Table1[[#This Row],[Resolution_Date]]="NA","Unresolved","Resolved")</f>
        <v>Resolved</v>
      </c>
      <c r="K730">
        <f>IF(Table1[[#This Row],[Resolution_Date]]="NA"," ",Table1[[#This Row],[Resolution_Date]]-Table1[[#This Row],[Complaint_Date]])</f>
        <v>0</v>
      </c>
      <c r="L730" t="str">
        <f>TEXT(Table1[[#This Row],[Complaint_Date]],"MMM")</f>
        <v>Sep</v>
      </c>
      <c r="M730" t="str">
        <f>IF(Table1[[#This Row],[Resolution_Time_Hours]]&lt;=24,"Fast",IF(Table1[[#This Row],[Resolution_Time_Hours]]&lt;=72,"Medium","Slow"))</f>
        <v>Fast</v>
      </c>
    </row>
    <row r="731" spans="1:13" x14ac:dyDescent="0.3">
      <c r="A731" t="s">
        <v>1823</v>
      </c>
      <c r="B731" t="s">
        <v>1824</v>
      </c>
      <c r="C731" t="s">
        <v>110</v>
      </c>
      <c r="D731" t="s">
        <v>18</v>
      </c>
      <c r="E731" s="2" t="s">
        <v>201</v>
      </c>
      <c r="F731">
        <v>13</v>
      </c>
      <c r="G731" t="s">
        <v>20</v>
      </c>
      <c r="H731" s="2" t="s">
        <v>201</v>
      </c>
      <c r="I731">
        <v>3</v>
      </c>
      <c r="J731" t="str">
        <f>IF(Table1[[#This Row],[Resolution_Date]]="NA","Unresolved","Resolved")</f>
        <v>Resolved</v>
      </c>
      <c r="K731">
        <f>IF(Table1[[#This Row],[Resolution_Date]]="NA"," ",Table1[[#This Row],[Resolution_Date]]-Table1[[#This Row],[Complaint_Date]])</f>
        <v>0</v>
      </c>
      <c r="L731" t="str">
        <f>TEXT(Table1[[#This Row],[Complaint_Date]],"MMM")</f>
        <v>Aug</v>
      </c>
      <c r="M731" t="str">
        <f>IF(Table1[[#This Row],[Resolution_Time_Hours]]&lt;=24,"Fast",IF(Table1[[#This Row],[Resolution_Time_Hours]]&lt;=72,"Medium","Slow"))</f>
        <v>Fast</v>
      </c>
    </row>
    <row r="732" spans="1:13" x14ac:dyDescent="0.3">
      <c r="A732" t="s">
        <v>1825</v>
      </c>
      <c r="B732" t="s">
        <v>1826</v>
      </c>
      <c r="C732" t="s">
        <v>34</v>
      </c>
      <c r="D732" t="s">
        <v>18</v>
      </c>
      <c r="E732" s="2" t="s">
        <v>1660</v>
      </c>
      <c r="F732">
        <v>34</v>
      </c>
      <c r="G732" t="s">
        <v>14</v>
      </c>
      <c r="H732" s="2" t="s">
        <v>2820</v>
      </c>
      <c r="J732" t="str">
        <f>IF(Table1[[#This Row],[Resolution_Date]]="NA","Unresolved","Resolved")</f>
        <v>Unresolved</v>
      </c>
      <c r="K732" t="str">
        <f>IF(Table1[[#This Row],[Resolution_Date]]="NA"," ",Table1[[#This Row],[Resolution_Date]]-Table1[[#This Row],[Complaint_Date]])</f>
        <v xml:space="preserve"> </v>
      </c>
      <c r="L732" t="str">
        <f>TEXT(Table1[[#This Row],[Complaint_Date]],"MMM")</f>
        <v>May</v>
      </c>
      <c r="M732" t="str">
        <f>IF(Table1[[#This Row],[Resolution_Time_Hours]]&lt;=24,"Fast",IF(Table1[[#This Row],[Resolution_Time_Hours]]&lt;=72,"Medium","Slow"))</f>
        <v>Medium</v>
      </c>
    </row>
    <row r="733" spans="1:13" x14ac:dyDescent="0.3">
      <c r="A733" t="s">
        <v>1827</v>
      </c>
      <c r="B733" t="s">
        <v>1828</v>
      </c>
      <c r="C733" t="s">
        <v>53</v>
      </c>
      <c r="D733" t="s">
        <v>27</v>
      </c>
      <c r="E733" s="2" t="s">
        <v>85</v>
      </c>
      <c r="F733">
        <v>2</v>
      </c>
      <c r="G733" t="s">
        <v>20</v>
      </c>
      <c r="H733" s="2" t="s">
        <v>85</v>
      </c>
      <c r="I733">
        <v>5</v>
      </c>
      <c r="J733" t="str">
        <f>IF(Table1[[#This Row],[Resolution_Date]]="NA","Unresolved","Resolved")</f>
        <v>Resolved</v>
      </c>
      <c r="K733">
        <f>IF(Table1[[#This Row],[Resolution_Date]]="NA"," ",Table1[[#This Row],[Resolution_Date]]-Table1[[#This Row],[Complaint_Date]])</f>
        <v>0</v>
      </c>
      <c r="L733" t="str">
        <f>TEXT(Table1[[#This Row],[Complaint_Date]],"MMM")</f>
        <v>Mar</v>
      </c>
      <c r="M733" t="str">
        <f>IF(Table1[[#This Row],[Resolution_Time_Hours]]&lt;=24,"Fast",IF(Table1[[#This Row],[Resolution_Time_Hours]]&lt;=72,"Medium","Slow"))</f>
        <v>Fast</v>
      </c>
    </row>
    <row r="734" spans="1:13" x14ac:dyDescent="0.3">
      <c r="A734" t="s">
        <v>1829</v>
      </c>
      <c r="B734" t="s">
        <v>1830</v>
      </c>
      <c r="C734" t="s">
        <v>43</v>
      </c>
      <c r="D734" t="s">
        <v>38</v>
      </c>
      <c r="E734" s="2" t="s">
        <v>376</v>
      </c>
      <c r="F734">
        <v>29</v>
      </c>
      <c r="G734" t="s">
        <v>14</v>
      </c>
      <c r="H734" s="2" t="s">
        <v>2820</v>
      </c>
      <c r="J734" t="str">
        <f>IF(Table1[[#This Row],[Resolution_Date]]="NA","Unresolved","Resolved")</f>
        <v>Unresolved</v>
      </c>
      <c r="K734" t="str">
        <f>IF(Table1[[#This Row],[Resolution_Date]]="NA"," ",Table1[[#This Row],[Resolution_Date]]-Table1[[#This Row],[Complaint_Date]])</f>
        <v xml:space="preserve"> </v>
      </c>
      <c r="L734" t="str">
        <f>TEXT(Table1[[#This Row],[Complaint_Date]],"MMM")</f>
        <v>Jul</v>
      </c>
      <c r="M734" t="str">
        <f>IF(Table1[[#This Row],[Resolution_Time_Hours]]&lt;=24,"Fast",IF(Table1[[#This Row],[Resolution_Time_Hours]]&lt;=72,"Medium","Slow"))</f>
        <v>Medium</v>
      </c>
    </row>
    <row r="735" spans="1:13" x14ac:dyDescent="0.3">
      <c r="A735" t="s">
        <v>1831</v>
      </c>
      <c r="B735" t="s">
        <v>1832</v>
      </c>
      <c r="C735" t="s">
        <v>17</v>
      </c>
      <c r="D735" t="s">
        <v>38</v>
      </c>
      <c r="E735" s="2" t="s">
        <v>67</v>
      </c>
      <c r="F735">
        <v>33</v>
      </c>
      <c r="G735" t="s">
        <v>14</v>
      </c>
      <c r="H735" s="2" t="s">
        <v>2820</v>
      </c>
      <c r="J735" t="str">
        <f>IF(Table1[[#This Row],[Resolution_Date]]="NA","Unresolved","Resolved")</f>
        <v>Unresolved</v>
      </c>
      <c r="K735" t="str">
        <f>IF(Table1[[#This Row],[Resolution_Date]]="NA"," ",Table1[[#This Row],[Resolution_Date]]-Table1[[#This Row],[Complaint_Date]])</f>
        <v xml:space="preserve"> </v>
      </c>
      <c r="L735" t="str">
        <f>TEXT(Table1[[#This Row],[Complaint_Date]],"MMM")</f>
        <v>Dec</v>
      </c>
      <c r="M735" t="str">
        <f>IF(Table1[[#This Row],[Resolution_Time_Hours]]&lt;=24,"Fast",IF(Table1[[#This Row],[Resolution_Time_Hours]]&lt;=72,"Medium","Slow"))</f>
        <v>Medium</v>
      </c>
    </row>
    <row r="736" spans="1:13" x14ac:dyDescent="0.3">
      <c r="A736" t="s">
        <v>1833</v>
      </c>
      <c r="B736" t="s">
        <v>1834</v>
      </c>
      <c r="C736" t="s">
        <v>11</v>
      </c>
      <c r="D736" t="s">
        <v>18</v>
      </c>
      <c r="E736" s="2" t="s">
        <v>469</v>
      </c>
      <c r="F736">
        <v>15</v>
      </c>
      <c r="G736" t="s">
        <v>20</v>
      </c>
      <c r="H736" s="2" t="s">
        <v>469</v>
      </c>
      <c r="I736">
        <v>3</v>
      </c>
      <c r="J736" t="str">
        <f>IF(Table1[[#This Row],[Resolution_Date]]="NA","Unresolved","Resolved")</f>
        <v>Resolved</v>
      </c>
      <c r="K736">
        <f>IF(Table1[[#This Row],[Resolution_Date]]="NA"," ",Table1[[#This Row],[Resolution_Date]]-Table1[[#This Row],[Complaint_Date]])</f>
        <v>0</v>
      </c>
      <c r="L736" t="str">
        <f>TEXT(Table1[[#This Row],[Complaint_Date]],"MMM")</f>
        <v>Oct</v>
      </c>
      <c r="M736" t="str">
        <f>IF(Table1[[#This Row],[Resolution_Time_Hours]]&lt;=24,"Fast",IF(Table1[[#This Row],[Resolution_Time_Hours]]&lt;=72,"Medium","Slow"))</f>
        <v>Fast</v>
      </c>
    </row>
    <row r="737" spans="1:13" x14ac:dyDescent="0.3">
      <c r="A737" t="s">
        <v>1835</v>
      </c>
      <c r="B737" t="s">
        <v>1836</v>
      </c>
      <c r="C737" t="s">
        <v>43</v>
      </c>
      <c r="D737" t="s">
        <v>27</v>
      </c>
      <c r="E737" s="2" t="s">
        <v>1042</v>
      </c>
      <c r="F737">
        <v>64</v>
      </c>
      <c r="G737" t="s">
        <v>20</v>
      </c>
      <c r="H737" s="2" t="s">
        <v>903</v>
      </c>
      <c r="I737">
        <v>1</v>
      </c>
      <c r="J737" t="str">
        <f>IF(Table1[[#This Row],[Resolution_Date]]="NA","Unresolved","Resolved")</f>
        <v>Resolved</v>
      </c>
      <c r="K737">
        <f>IF(Table1[[#This Row],[Resolution_Date]]="NA"," ",Table1[[#This Row],[Resolution_Date]]-Table1[[#This Row],[Complaint_Date]])</f>
        <v>2</v>
      </c>
      <c r="L737" t="str">
        <f>TEXT(Table1[[#This Row],[Complaint_Date]],"MMM")</f>
        <v>Feb</v>
      </c>
      <c r="M737" t="str">
        <f>IF(Table1[[#This Row],[Resolution_Time_Hours]]&lt;=24,"Fast",IF(Table1[[#This Row],[Resolution_Time_Hours]]&lt;=72,"Medium","Slow"))</f>
        <v>Medium</v>
      </c>
    </row>
    <row r="738" spans="1:13" x14ac:dyDescent="0.3">
      <c r="A738" t="s">
        <v>1837</v>
      </c>
      <c r="B738" t="s">
        <v>1838</v>
      </c>
      <c r="C738" t="s">
        <v>11</v>
      </c>
      <c r="D738" t="s">
        <v>12</v>
      </c>
      <c r="E738" s="2" t="s">
        <v>170</v>
      </c>
      <c r="F738">
        <v>27</v>
      </c>
      <c r="G738" t="s">
        <v>20</v>
      </c>
      <c r="H738" s="2" t="s">
        <v>195</v>
      </c>
      <c r="I738">
        <v>2</v>
      </c>
      <c r="J738" t="str">
        <f>IF(Table1[[#This Row],[Resolution_Date]]="NA","Unresolved","Resolved")</f>
        <v>Resolved</v>
      </c>
      <c r="K738">
        <f>IF(Table1[[#This Row],[Resolution_Date]]="NA"," ",Table1[[#This Row],[Resolution_Date]]-Table1[[#This Row],[Complaint_Date]])</f>
        <v>1</v>
      </c>
      <c r="L738" t="str">
        <f>TEXT(Table1[[#This Row],[Complaint_Date]],"MMM")</f>
        <v>Aug</v>
      </c>
      <c r="M738" t="str">
        <f>IF(Table1[[#This Row],[Resolution_Time_Hours]]&lt;=24,"Fast",IF(Table1[[#This Row],[Resolution_Time_Hours]]&lt;=72,"Medium","Slow"))</f>
        <v>Medium</v>
      </c>
    </row>
    <row r="739" spans="1:13" x14ac:dyDescent="0.3">
      <c r="A739" t="s">
        <v>1839</v>
      </c>
      <c r="B739" t="s">
        <v>1840</v>
      </c>
      <c r="C739" t="s">
        <v>34</v>
      </c>
      <c r="D739" t="s">
        <v>38</v>
      </c>
      <c r="E739" s="2" t="s">
        <v>100</v>
      </c>
      <c r="F739">
        <v>26</v>
      </c>
      <c r="G739" t="s">
        <v>20</v>
      </c>
      <c r="H739" s="2" t="s">
        <v>933</v>
      </c>
      <c r="I739">
        <v>2</v>
      </c>
      <c r="J739" t="str">
        <f>IF(Table1[[#This Row],[Resolution_Date]]="NA","Unresolved","Resolved")</f>
        <v>Resolved</v>
      </c>
      <c r="K739">
        <f>IF(Table1[[#This Row],[Resolution_Date]]="NA"," ",Table1[[#This Row],[Resolution_Date]]-Table1[[#This Row],[Complaint_Date]])</f>
        <v>1</v>
      </c>
      <c r="L739" t="str">
        <f>TEXT(Table1[[#This Row],[Complaint_Date]],"MMM")</f>
        <v>Jan</v>
      </c>
      <c r="M739" t="str">
        <f>IF(Table1[[#This Row],[Resolution_Time_Hours]]&lt;=24,"Fast",IF(Table1[[#This Row],[Resolution_Time_Hours]]&lt;=72,"Medium","Slow"))</f>
        <v>Medium</v>
      </c>
    </row>
    <row r="740" spans="1:13" x14ac:dyDescent="0.3">
      <c r="A740" t="s">
        <v>1841</v>
      </c>
      <c r="B740" t="s">
        <v>1842</v>
      </c>
      <c r="C740" t="s">
        <v>48</v>
      </c>
      <c r="D740" t="s">
        <v>27</v>
      </c>
      <c r="E740" s="2" t="s">
        <v>493</v>
      </c>
      <c r="F740">
        <v>33</v>
      </c>
      <c r="G740" t="s">
        <v>14</v>
      </c>
      <c r="H740" s="2" t="s">
        <v>2820</v>
      </c>
      <c r="J740" t="str">
        <f>IF(Table1[[#This Row],[Resolution_Date]]="NA","Unresolved","Resolved")</f>
        <v>Unresolved</v>
      </c>
      <c r="K740" t="str">
        <f>IF(Table1[[#This Row],[Resolution_Date]]="NA"," ",Table1[[#This Row],[Resolution_Date]]-Table1[[#This Row],[Complaint_Date]])</f>
        <v xml:space="preserve"> </v>
      </c>
      <c r="L740" t="str">
        <f>TEXT(Table1[[#This Row],[Complaint_Date]],"MMM")</f>
        <v>Oct</v>
      </c>
      <c r="M740" t="str">
        <f>IF(Table1[[#This Row],[Resolution_Time_Hours]]&lt;=24,"Fast",IF(Table1[[#This Row],[Resolution_Time_Hours]]&lt;=72,"Medium","Slow"))</f>
        <v>Medium</v>
      </c>
    </row>
    <row r="741" spans="1:13" x14ac:dyDescent="0.3">
      <c r="A741" t="s">
        <v>1843</v>
      </c>
      <c r="B741" t="s">
        <v>1844</v>
      </c>
      <c r="C741" t="s">
        <v>48</v>
      </c>
      <c r="D741" t="s">
        <v>27</v>
      </c>
      <c r="E741" s="2" t="s">
        <v>57</v>
      </c>
      <c r="F741">
        <v>58</v>
      </c>
      <c r="G741" t="s">
        <v>20</v>
      </c>
      <c r="H741" s="2" t="s">
        <v>1240</v>
      </c>
      <c r="I741">
        <v>1</v>
      </c>
      <c r="J741" t="str">
        <f>IF(Table1[[#This Row],[Resolution_Date]]="NA","Unresolved","Resolved")</f>
        <v>Resolved</v>
      </c>
      <c r="K741">
        <f>IF(Table1[[#This Row],[Resolution_Date]]="NA"," ",Table1[[#This Row],[Resolution_Date]]-Table1[[#This Row],[Complaint_Date]])</f>
        <v>2</v>
      </c>
      <c r="L741" t="str">
        <f>TEXT(Table1[[#This Row],[Complaint_Date]],"MMM")</f>
        <v>Jan</v>
      </c>
      <c r="M741" t="str">
        <f>IF(Table1[[#This Row],[Resolution_Time_Hours]]&lt;=24,"Fast",IF(Table1[[#This Row],[Resolution_Time_Hours]]&lt;=72,"Medium","Slow"))</f>
        <v>Medium</v>
      </c>
    </row>
    <row r="742" spans="1:13" x14ac:dyDescent="0.3">
      <c r="A742" t="s">
        <v>1845</v>
      </c>
      <c r="B742" t="s">
        <v>1846</v>
      </c>
      <c r="C742" t="s">
        <v>17</v>
      </c>
      <c r="D742" t="s">
        <v>12</v>
      </c>
      <c r="E742" s="2" t="s">
        <v>766</v>
      </c>
      <c r="F742">
        <v>22</v>
      </c>
      <c r="G742" t="s">
        <v>14</v>
      </c>
      <c r="H742" s="2" t="s">
        <v>2820</v>
      </c>
      <c r="J742" t="str">
        <f>IF(Table1[[#This Row],[Resolution_Date]]="NA","Unresolved","Resolved")</f>
        <v>Unresolved</v>
      </c>
      <c r="K742" t="str">
        <f>IF(Table1[[#This Row],[Resolution_Date]]="NA"," ",Table1[[#This Row],[Resolution_Date]]-Table1[[#This Row],[Complaint_Date]])</f>
        <v xml:space="preserve"> </v>
      </c>
      <c r="L742" t="str">
        <f>TEXT(Table1[[#This Row],[Complaint_Date]],"MMM")</f>
        <v>Oct</v>
      </c>
      <c r="M742" t="str">
        <f>IF(Table1[[#This Row],[Resolution_Time_Hours]]&lt;=24,"Fast",IF(Table1[[#This Row],[Resolution_Time_Hours]]&lt;=72,"Medium","Slow"))</f>
        <v>Fast</v>
      </c>
    </row>
    <row r="743" spans="1:13" x14ac:dyDescent="0.3">
      <c r="A743" t="s">
        <v>1847</v>
      </c>
      <c r="B743" t="s">
        <v>1848</v>
      </c>
      <c r="C743" t="s">
        <v>110</v>
      </c>
      <c r="D743" t="s">
        <v>95</v>
      </c>
      <c r="E743" s="2" t="s">
        <v>1849</v>
      </c>
      <c r="F743">
        <v>2</v>
      </c>
      <c r="G743" t="s">
        <v>14</v>
      </c>
      <c r="H743" s="2" t="s">
        <v>2820</v>
      </c>
      <c r="J743" t="str">
        <f>IF(Table1[[#This Row],[Resolution_Date]]="NA","Unresolved","Resolved")</f>
        <v>Unresolved</v>
      </c>
      <c r="K743" t="str">
        <f>IF(Table1[[#This Row],[Resolution_Date]]="NA"," ",Table1[[#This Row],[Resolution_Date]]-Table1[[#This Row],[Complaint_Date]])</f>
        <v xml:space="preserve"> </v>
      </c>
      <c r="L743" t="str">
        <f>TEXT(Table1[[#This Row],[Complaint_Date]],"MMM")</f>
        <v>Dec</v>
      </c>
      <c r="M743" t="str">
        <f>IF(Table1[[#This Row],[Resolution_Time_Hours]]&lt;=24,"Fast",IF(Table1[[#This Row],[Resolution_Time_Hours]]&lt;=72,"Medium","Slow"))</f>
        <v>Fast</v>
      </c>
    </row>
    <row r="744" spans="1:13" x14ac:dyDescent="0.3">
      <c r="A744" t="s">
        <v>1850</v>
      </c>
      <c r="B744" t="s">
        <v>1851</v>
      </c>
      <c r="C744" t="s">
        <v>11</v>
      </c>
      <c r="D744" t="s">
        <v>12</v>
      </c>
      <c r="E744" s="2" t="s">
        <v>1042</v>
      </c>
      <c r="F744">
        <v>5</v>
      </c>
      <c r="G744" t="s">
        <v>20</v>
      </c>
      <c r="H744" s="2" t="s">
        <v>1042</v>
      </c>
      <c r="I744">
        <v>5</v>
      </c>
      <c r="J744" t="str">
        <f>IF(Table1[[#This Row],[Resolution_Date]]="NA","Unresolved","Resolved")</f>
        <v>Resolved</v>
      </c>
      <c r="K744">
        <f>IF(Table1[[#This Row],[Resolution_Date]]="NA"," ",Table1[[#This Row],[Resolution_Date]]-Table1[[#This Row],[Complaint_Date]])</f>
        <v>0</v>
      </c>
      <c r="L744" t="str">
        <f>TEXT(Table1[[#This Row],[Complaint_Date]],"MMM")</f>
        <v>Feb</v>
      </c>
      <c r="M744" t="str">
        <f>IF(Table1[[#This Row],[Resolution_Time_Hours]]&lt;=24,"Fast",IF(Table1[[#This Row],[Resolution_Time_Hours]]&lt;=72,"Medium","Slow"))</f>
        <v>Fast</v>
      </c>
    </row>
    <row r="745" spans="1:13" x14ac:dyDescent="0.3">
      <c r="A745" t="s">
        <v>1852</v>
      </c>
      <c r="B745" t="s">
        <v>1853</v>
      </c>
      <c r="C745" t="s">
        <v>110</v>
      </c>
      <c r="D745" t="s">
        <v>38</v>
      </c>
      <c r="E745" s="2" t="s">
        <v>750</v>
      </c>
      <c r="F745">
        <v>15</v>
      </c>
      <c r="G745" t="s">
        <v>40</v>
      </c>
      <c r="H745" s="2" t="s">
        <v>2820</v>
      </c>
      <c r="J745" t="str">
        <f>IF(Table1[[#This Row],[Resolution_Date]]="NA","Unresolved","Resolved")</f>
        <v>Unresolved</v>
      </c>
      <c r="K745" t="str">
        <f>IF(Table1[[#This Row],[Resolution_Date]]="NA"," ",Table1[[#This Row],[Resolution_Date]]-Table1[[#This Row],[Complaint_Date]])</f>
        <v xml:space="preserve"> </v>
      </c>
      <c r="L745" t="str">
        <f>TEXT(Table1[[#This Row],[Complaint_Date]],"MMM")</f>
        <v>Mar</v>
      </c>
      <c r="M745" t="str">
        <f>IF(Table1[[#This Row],[Resolution_Time_Hours]]&lt;=24,"Fast",IF(Table1[[#This Row],[Resolution_Time_Hours]]&lt;=72,"Medium","Slow"))</f>
        <v>Fast</v>
      </c>
    </row>
    <row r="746" spans="1:13" x14ac:dyDescent="0.3">
      <c r="A746" t="s">
        <v>1854</v>
      </c>
      <c r="B746" t="s">
        <v>1855</v>
      </c>
      <c r="C746" t="s">
        <v>53</v>
      </c>
      <c r="D746" t="s">
        <v>12</v>
      </c>
      <c r="E746" s="2" t="s">
        <v>369</v>
      </c>
      <c r="F746">
        <v>11</v>
      </c>
      <c r="G746" t="s">
        <v>20</v>
      </c>
      <c r="H746" s="2" t="s">
        <v>369</v>
      </c>
      <c r="I746">
        <v>4</v>
      </c>
      <c r="J746" t="str">
        <f>IF(Table1[[#This Row],[Resolution_Date]]="NA","Unresolved","Resolved")</f>
        <v>Resolved</v>
      </c>
      <c r="K746">
        <f>IF(Table1[[#This Row],[Resolution_Date]]="NA"," ",Table1[[#This Row],[Resolution_Date]]-Table1[[#This Row],[Complaint_Date]])</f>
        <v>0</v>
      </c>
      <c r="L746" t="str">
        <f>TEXT(Table1[[#This Row],[Complaint_Date]],"MMM")</f>
        <v>May</v>
      </c>
      <c r="M746" t="str">
        <f>IF(Table1[[#This Row],[Resolution_Time_Hours]]&lt;=24,"Fast",IF(Table1[[#This Row],[Resolution_Time_Hours]]&lt;=72,"Medium","Slow"))</f>
        <v>Fast</v>
      </c>
    </row>
    <row r="747" spans="1:13" x14ac:dyDescent="0.3">
      <c r="A747" t="s">
        <v>1856</v>
      </c>
      <c r="B747" t="s">
        <v>1857</v>
      </c>
      <c r="C747" t="s">
        <v>48</v>
      </c>
      <c r="D747" t="s">
        <v>12</v>
      </c>
      <c r="E747" s="2" t="s">
        <v>179</v>
      </c>
      <c r="F747">
        <v>42</v>
      </c>
      <c r="G747" t="s">
        <v>20</v>
      </c>
      <c r="H747" s="2" t="s">
        <v>428</v>
      </c>
      <c r="I747">
        <v>2</v>
      </c>
      <c r="J747" t="str">
        <f>IF(Table1[[#This Row],[Resolution_Date]]="NA","Unresolved","Resolved")</f>
        <v>Resolved</v>
      </c>
      <c r="K747">
        <f>IF(Table1[[#This Row],[Resolution_Date]]="NA"," ",Table1[[#This Row],[Resolution_Date]]-Table1[[#This Row],[Complaint_Date]])</f>
        <v>1</v>
      </c>
      <c r="L747" t="str">
        <f>TEXT(Table1[[#This Row],[Complaint_Date]],"MMM")</f>
        <v>Apr</v>
      </c>
      <c r="M747" t="str">
        <f>IF(Table1[[#This Row],[Resolution_Time_Hours]]&lt;=24,"Fast",IF(Table1[[#This Row],[Resolution_Time_Hours]]&lt;=72,"Medium","Slow"))</f>
        <v>Medium</v>
      </c>
    </row>
    <row r="748" spans="1:13" x14ac:dyDescent="0.3">
      <c r="A748" t="s">
        <v>1858</v>
      </c>
      <c r="B748" t="s">
        <v>1859</v>
      </c>
      <c r="C748" t="s">
        <v>34</v>
      </c>
      <c r="D748" t="s">
        <v>27</v>
      </c>
      <c r="E748" s="2" t="s">
        <v>998</v>
      </c>
      <c r="F748">
        <v>30</v>
      </c>
      <c r="G748" t="s">
        <v>14</v>
      </c>
      <c r="H748" s="2" t="s">
        <v>2820</v>
      </c>
      <c r="J748" t="str">
        <f>IF(Table1[[#This Row],[Resolution_Date]]="NA","Unresolved","Resolved")</f>
        <v>Unresolved</v>
      </c>
      <c r="K748" t="str">
        <f>IF(Table1[[#This Row],[Resolution_Date]]="NA"," ",Table1[[#This Row],[Resolution_Date]]-Table1[[#This Row],[Complaint_Date]])</f>
        <v xml:space="preserve"> </v>
      </c>
      <c r="L748" t="str">
        <f>TEXT(Table1[[#This Row],[Complaint_Date]],"MMM")</f>
        <v>Jan</v>
      </c>
      <c r="M748" t="str">
        <f>IF(Table1[[#This Row],[Resolution_Time_Hours]]&lt;=24,"Fast",IF(Table1[[#This Row],[Resolution_Time_Hours]]&lt;=72,"Medium","Slow"))</f>
        <v>Medium</v>
      </c>
    </row>
    <row r="749" spans="1:13" x14ac:dyDescent="0.3">
      <c r="A749" t="s">
        <v>1860</v>
      </c>
      <c r="B749" t="s">
        <v>1861</v>
      </c>
      <c r="C749" t="s">
        <v>17</v>
      </c>
      <c r="D749" t="s">
        <v>12</v>
      </c>
      <c r="E749" s="2" t="s">
        <v>591</v>
      </c>
      <c r="F749">
        <v>22</v>
      </c>
      <c r="G749" t="s">
        <v>14</v>
      </c>
      <c r="H749" s="2" t="s">
        <v>2820</v>
      </c>
      <c r="J749" t="str">
        <f>IF(Table1[[#This Row],[Resolution_Date]]="NA","Unresolved","Resolved")</f>
        <v>Unresolved</v>
      </c>
      <c r="K749" t="str">
        <f>IF(Table1[[#This Row],[Resolution_Date]]="NA"," ",Table1[[#This Row],[Resolution_Date]]-Table1[[#This Row],[Complaint_Date]])</f>
        <v xml:space="preserve"> </v>
      </c>
      <c r="L749" t="str">
        <f>TEXT(Table1[[#This Row],[Complaint_Date]],"MMM")</f>
        <v>Aug</v>
      </c>
      <c r="M749" t="str">
        <f>IF(Table1[[#This Row],[Resolution_Time_Hours]]&lt;=24,"Fast",IF(Table1[[#This Row],[Resolution_Time_Hours]]&lt;=72,"Medium","Slow"))</f>
        <v>Fast</v>
      </c>
    </row>
    <row r="750" spans="1:13" x14ac:dyDescent="0.3">
      <c r="A750" t="s">
        <v>1862</v>
      </c>
      <c r="B750" t="s">
        <v>1863</v>
      </c>
      <c r="C750" t="s">
        <v>48</v>
      </c>
      <c r="D750" t="s">
        <v>95</v>
      </c>
      <c r="E750" s="2" t="s">
        <v>1240</v>
      </c>
      <c r="F750">
        <v>16</v>
      </c>
      <c r="G750" t="s">
        <v>20</v>
      </c>
      <c r="H750" s="2" t="s">
        <v>1240</v>
      </c>
      <c r="I750">
        <v>5</v>
      </c>
      <c r="J750" t="str">
        <f>IF(Table1[[#This Row],[Resolution_Date]]="NA","Unresolved","Resolved")</f>
        <v>Resolved</v>
      </c>
      <c r="K750">
        <f>IF(Table1[[#This Row],[Resolution_Date]]="NA"," ",Table1[[#This Row],[Resolution_Date]]-Table1[[#This Row],[Complaint_Date]])</f>
        <v>0</v>
      </c>
      <c r="L750" t="str">
        <f>TEXT(Table1[[#This Row],[Complaint_Date]],"MMM")</f>
        <v>Jan</v>
      </c>
      <c r="M750" t="str">
        <f>IF(Table1[[#This Row],[Resolution_Time_Hours]]&lt;=24,"Fast",IF(Table1[[#This Row],[Resolution_Time_Hours]]&lt;=72,"Medium","Slow"))</f>
        <v>Fast</v>
      </c>
    </row>
    <row r="751" spans="1:13" x14ac:dyDescent="0.3">
      <c r="A751" t="s">
        <v>1864</v>
      </c>
      <c r="B751" t="s">
        <v>1865</v>
      </c>
      <c r="C751" t="s">
        <v>34</v>
      </c>
      <c r="D751" t="s">
        <v>95</v>
      </c>
      <c r="E751" s="2" t="s">
        <v>313</v>
      </c>
      <c r="F751">
        <v>26</v>
      </c>
      <c r="G751" t="s">
        <v>20</v>
      </c>
      <c r="H751" s="2" t="s">
        <v>1866</v>
      </c>
      <c r="I751">
        <v>2</v>
      </c>
      <c r="J751" t="str">
        <f>IF(Table1[[#This Row],[Resolution_Date]]="NA","Unresolved","Resolved")</f>
        <v>Resolved</v>
      </c>
      <c r="K751">
        <f>IF(Table1[[#This Row],[Resolution_Date]]="NA"," ",Table1[[#This Row],[Resolution_Date]]-Table1[[#This Row],[Complaint_Date]])</f>
        <v>1</v>
      </c>
      <c r="L751" t="str">
        <f>TEXT(Table1[[#This Row],[Complaint_Date]],"MMM")</f>
        <v>May</v>
      </c>
      <c r="M751" t="str">
        <f>IF(Table1[[#This Row],[Resolution_Time_Hours]]&lt;=24,"Fast",IF(Table1[[#This Row],[Resolution_Time_Hours]]&lt;=72,"Medium","Slow"))</f>
        <v>Medium</v>
      </c>
    </row>
    <row r="752" spans="1:13" x14ac:dyDescent="0.3">
      <c r="A752" t="s">
        <v>1867</v>
      </c>
      <c r="B752" t="s">
        <v>1868</v>
      </c>
      <c r="C752" t="s">
        <v>70</v>
      </c>
      <c r="D752" t="s">
        <v>18</v>
      </c>
      <c r="E752" s="2" t="s">
        <v>35</v>
      </c>
      <c r="F752">
        <v>12</v>
      </c>
      <c r="G752" t="s">
        <v>14</v>
      </c>
      <c r="H752" s="2" t="s">
        <v>2820</v>
      </c>
      <c r="J752" t="str">
        <f>IF(Table1[[#This Row],[Resolution_Date]]="NA","Unresolved","Resolved")</f>
        <v>Unresolved</v>
      </c>
      <c r="K752" t="str">
        <f>IF(Table1[[#This Row],[Resolution_Date]]="NA"," ",Table1[[#This Row],[Resolution_Date]]-Table1[[#This Row],[Complaint_Date]])</f>
        <v xml:space="preserve"> </v>
      </c>
      <c r="L752" t="str">
        <f>TEXT(Table1[[#This Row],[Complaint_Date]],"MMM")</f>
        <v>Dec</v>
      </c>
      <c r="M752" t="str">
        <f>IF(Table1[[#This Row],[Resolution_Time_Hours]]&lt;=24,"Fast",IF(Table1[[#This Row],[Resolution_Time_Hours]]&lt;=72,"Medium","Slow"))</f>
        <v>Fast</v>
      </c>
    </row>
    <row r="753" spans="1:13" x14ac:dyDescent="0.3">
      <c r="A753" t="s">
        <v>1869</v>
      </c>
      <c r="B753" t="s">
        <v>1870</v>
      </c>
      <c r="C753" t="s">
        <v>34</v>
      </c>
      <c r="D753" t="s">
        <v>12</v>
      </c>
      <c r="E753" s="2" t="s">
        <v>1328</v>
      </c>
      <c r="F753">
        <v>85</v>
      </c>
      <c r="G753" t="s">
        <v>20</v>
      </c>
      <c r="H753" s="2" t="s">
        <v>562</v>
      </c>
      <c r="I753">
        <v>5</v>
      </c>
      <c r="J753" t="str">
        <f>IF(Table1[[#This Row],[Resolution_Date]]="NA","Unresolved","Resolved")</f>
        <v>Resolved</v>
      </c>
      <c r="K753">
        <f>IF(Table1[[#This Row],[Resolution_Date]]="NA"," ",Table1[[#This Row],[Resolution_Date]]-Table1[[#This Row],[Complaint_Date]])</f>
        <v>3</v>
      </c>
      <c r="L753" t="str">
        <f>TEXT(Table1[[#This Row],[Complaint_Date]],"MMM")</f>
        <v>Jan</v>
      </c>
      <c r="M753" t="str">
        <f>IF(Table1[[#This Row],[Resolution_Time_Hours]]&lt;=24,"Fast",IF(Table1[[#This Row],[Resolution_Time_Hours]]&lt;=72,"Medium","Slow"))</f>
        <v>Slow</v>
      </c>
    </row>
    <row r="754" spans="1:13" x14ac:dyDescent="0.3">
      <c r="A754" t="s">
        <v>1871</v>
      </c>
      <c r="B754" t="s">
        <v>1872</v>
      </c>
      <c r="C754" t="s">
        <v>11</v>
      </c>
      <c r="D754" t="s">
        <v>27</v>
      </c>
      <c r="E754" s="2" t="s">
        <v>936</v>
      </c>
      <c r="F754">
        <v>23</v>
      </c>
      <c r="G754" t="s">
        <v>20</v>
      </c>
      <c r="H754" s="2" t="s">
        <v>936</v>
      </c>
      <c r="I754">
        <v>3</v>
      </c>
      <c r="J754" t="str">
        <f>IF(Table1[[#This Row],[Resolution_Date]]="NA","Unresolved","Resolved")</f>
        <v>Resolved</v>
      </c>
      <c r="K754">
        <f>IF(Table1[[#This Row],[Resolution_Date]]="NA"," ",Table1[[#This Row],[Resolution_Date]]-Table1[[#This Row],[Complaint_Date]])</f>
        <v>0</v>
      </c>
      <c r="L754" t="str">
        <f>TEXT(Table1[[#This Row],[Complaint_Date]],"MMM")</f>
        <v>Feb</v>
      </c>
      <c r="M754" t="str">
        <f>IF(Table1[[#This Row],[Resolution_Time_Hours]]&lt;=24,"Fast",IF(Table1[[#This Row],[Resolution_Time_Hours]]&lt;=72,"Medium","Slow"))</f>
        <v>Fast</v>
      </c>
    </row>
    <row r="755" spans="1:13" x14ac:dyDescent="0.3">
      <c r="A755" t="s">
        <v>1873</v>
      </c>
      <c r="B755" t="s">
        <v>1874</v>
      </c>
      <c r="C755" t="s">
        <v>17</v>
      </c>
      <c r="D755" t="s">
        <v>18</v>
      </c>
      <c r="E755" s="2" t="s">
        <v>933</v>
      </c>
      <c r="F755">
        <v>35</v>
      </c>
      <c r="G755" t="s">
        <v>14</v>
      </c>
      <c r="H755" s="2" t="s">
        <v>2820</v>
      </c>
      <c r="J755" t="str">
        <f>IF(Table1[[#This Row],[Resolution_Date]]="NA","Unresolved","Resolved")</f>
        <v>Unresolved</v>
      </c>
      <c r="K755" t="str">
        <f>IF(Table1[[#This Row],[Resolution_Date]]="NA"," ",Table1[[#This Row],[Resolution_Date]]-Table1[[#This Row],[Complaint_Date]])</f>
        <v xml:space="preserve"> </v>
      </c>
      <c r="L755" t="str">
        <f>TEXT(Table1[[#This Row],[Complaint_Date]],"MMM")</f>
        <v>Jan</v>
      </c>
      <c r="M755" t="str">
        <f>IF(Table1[[#This Row],[Resolution_Time_Hours]]&lt;=24,"Fast",IF(Table1[[#This Row],[Resolution_Time_Hours]]&lt;=72,"Medium","Slow"))</f>
        <v>Medium</v>
      </c>
    </row>
    <row r="756" spans="1:13" x14ac:dyDescent="0.3">
      <c r="A756" t="s">
        <v>1875</v>
      </c>
      <c r="B756" t="s">
        <v>1876</v>
      </c>
      <c r="C756" t="s">
        <v>11</v>
      </c>
      <c r="D756" t="s">
        <v>18</v>
      </c>
      <c r="E756" s="2" t="s">
        <v>517</v>
      </c>
      <c r="F756">
        <v>39</v>
      </c>
      <c r="G756" t="s">
        <v>14</v>
      </c>
      <c r="H756" s="2" t="s">
        <v>2820</v>
      </c>
      <c r="J756" t="str">
        <f>IF(Table1[[#This Row],[Resolution_Date]]="NA","Unresolved","Resolved")</f>
        <v>Unresolved</v>
      </c>
      <c r="K756" t="str">
        <f>IF(Table1[[#This Row],[Resolution_Date]]="NA"," ",Table1[[#This Row],[Resolution_Date]]-Table1[[#This Row],[Complaint_Date]])</f>
        <v xml:space="preserve"> </v>
      </c>
      <c r="L756" t="str">
        <f>TEXT(Table1[[#This Row],[Complaint_Date]],"MMM")</f>
        <v>Feb</v>
      </c>
      <c r="M756" t="str">
        <f>IF(Table1[[#This Row],[Resolution_Time_Hours]]&lt;=24,"Fast",IF(Table1[[#This Row],[Resolution_Time_Hours]]&lt;=72,"Medium","Slow"))</f>
        <v>Medium</v>
      </c>
    </row>
    <row r="757" spans="1:13" x14ac:dyDescent="0.3">
      <c r="A757" t="s">
        <v>1877</v>
      </c>
      <c r="B757" t="s">
        <v>1878</v>
      </c>
      <c r="C757" t="s">
        <v>11</v>
      </c>
      <c r="D757" t="s">
        <v>27</v>
      </c>
      <c r="E757" s="2" t="s">
        <v>1029</v>
      </c>
      <c r="F757">
        <v>9</v>
      </c>
      <c r="G757" t="s">
        <v>20</v>
      </c>
      <c r="H757" s="2" t="s">
        <v>1029</v>
      </c>
      <c r="I757">
        <v>4</v>
      </c>
      <c r="J757" t="str">
        <f>IF(Table1[[#This Row],[Resolution_Date]]="NA","Unresolved","Resolved")</f>
        <v>Resolved</v>
      </c>
      <c r="K757">
        <f>IF(Table1[[#This Row],[Resolution_Date]]="NA"," ",Table1[[#This Row],[Resolution_Date]]-Table1[[#This Row],[Complaint_Date]])</f>
        <v>0</v>
      </c>
      <c r="L757" t="str">
        <f>TEXT(Table1[[#This Row],[Complaint_Date]],"MMM")</f>
        <v>Nov</v>
      </c>
      <c r="M757" t="str">
        <f>IF(Table1[[#This Row],[Resolution_Time_Hours]]&lt;=24,"Fast",IF(Table1[[#This Row],[Resolution_Time_Hours]]&lt;=72,"Medium","Slow"))</f>
        <v>Fast</v>
      </c>
    </row>
    <row r="758" spans="1:13" x14ac:dyDescent="0.3">
      <c r="A758" t="s">
        <v>1879</v>
      </c>
      <c r="B758" t="s">
        <v>1880</v>
      </c>
      <c r="C758" t="s">
        <v>17</v>
      </c>
      <c r="D758" t="s">
        <v>12</v>
      </c>
      <c r="E758" s="2" t="s">
        <v>1881</v>
      </c>
      <c r="F758">
        <v>16</v>
      </c>
      <c r="G758" t="s">
        <v>20</v>
      </c>
      <c r="H758" s="2" t="s">
        <v>1881</v>
      </c>
      <c r="I758">
        <v>3</v>
      </c>
      <c r="J758" t="str">
        <f>IF(Table1[[#This Row],[Resolution_Date]]="NA","Unresolved","Resolved")</f>
        <v>Resolved</v>
      </c>
      <c r="K758">
        <f>IF(Table1[[#This Row],[Resolution_Date]]="NA"," ",Table1[[#This Row],[Resolution_Date]]-Table1[[#This Row],[Complaint_Date]])</f>
        <v>0</v>
      </c>
      <c r="L758" t="str">
        <f>TEXT(Table1[[#This Row],[Complaint_Date]],"MMM")</f>
        <v>Nov</v>
      </c>
      <c r="M758" t="str">
        <f>IF(Table1[[#This Row],[Resolution_Time_Hours]]&lt;=24,"Fast",IF(Table1[[#This Row],[Resolution_Time_Hours]]&lt;=72,"Medium","Slow"))</f>
        <v>Fast</v>
      </c>
    </row>
    <row r="759" spans="1:13" x14ac:dyDescent="0.3">
      <c r="A759" t="s">
        <v>1882</v>
      </c>
      <c r="B759" t="s">
        <v>1883</v>
      </c>
      <c r="C759" t="s">
        <v>34</v>
      </c>
      <c r="D759" t="s">
        <v>27</v>
      </c>
      <c r="E759" s="2" t="s">
        <v>858</v>
      </c>
      <c r="F759">
        <v>48</v>
      </c>
      <c r="G759" t="s">
        <v>20</v>
      </c>
      <c r="H759" s="2" t="s">
        <v>822</v>
      </c>
      <c r="I759">
        <v>5</v>
      </c>
      <c r="J759" t="str">
        <f>IF(Table1[[#This Row],[Resolution_Date]]="NA","Unresolved","Resolved")</f>
        <v>Resolved</v>
      </c>
      <c r="K759">
        <f>IF(Table1[[#This Row],[Resolution_Date]]="NA"," ",Table1[[#This Row],[Resolution_Date]]-Table1[[#This Row],[Complaint_Date]])</f>
        <v>2</v>
      </c>
      <c r="L759" t="str">
        <f>TEXT(Table1[[#This Row],[Complaint_Date]],"MMM")</f>
        <v>May</v>
      </c>
      <c r="M759" t="str">
        <f>IF(Table1[[#This Row],[Resolution_Time_Hours]]&lt;=24,"Fast",IF(Table1[[#This Row],[Resolution_Time_Hours]]&lt;=72,"Medium","Slow"))</f>
        <v>Medium</v>
      </c>
    </row>
    <row r="760" spans="1:13" x14ac:dyDescent="0.3">
      <c r="A760" t="s">
        <v>1884</v>
      </c>
      <c r="B760" t="s">
        <v>1885</v>
      </c>
      <c r="C760" t="s">
        <v>34</v>
      </c>
      <c r="D760" t="s">
        <v>18</v>
      </c>
      <c r="E760" s="2" t="s">
        <v>326</v>
      </c>
      <c r="F760">
        <v>69</v>
      </c>
      <c r="G760" t="s">
        <v>20</v>
      </c>
      <c r="H760" s="2" t="s">
        <v>23</v>
      </c>
      <c r="I760">
        <v>1</v>
      </c>
      <c r="J760" t="str">
        <f>IF(Table1[[#This Row],[Resolution_Date]]="NA","Unresolved","Resolved")</f>
        <v>Resolved</v>
      </c>
      <c r="K760">
        <f>IF(Table1[[#This Row],[Resolution_Date]]="NA"," ",Table1[[#This Row],[Resolution_Date]]-Table1[[#This Row],[Complaint_Date]])</f>
        <v>2</v>
      </c>
      <c r="L760" t="str">
        <f>TEXT(Table1[[#This Row],[Complaint_Date]],"MMM")</f>
        <v>Sep</v>
      </c>
      <c r="M760" t="str">
        <f>IF(Table1[[#This Row],[Resolution_Time_Hours]]&lt;=24,"Fast",IF(Table1[[#This Row],[Resolution_Time_Hours]]&lt;=72,"Medium","Slow"))</f>
        <v>Medium</v>
      </c>
    </row>
    <row r="761" spans="1:13" x14ac:dyDescent="0.3">
      <c r="A761" t="s">
        <v>1886</v>
      </c>
      <c r="B761" t="s">
        <v>1887</v>
      </c>
      <c r="C761" t="s">
        <v>43</v>
      </c>
      <c r="D761" t="s">
        <v>18</v>
      </c>
      <c r="E761" s="2" t="s">
        <v>552</v>
      </c>
      <c r="F761">
        <v>55</v>
      </c>
      <c r="G761" t="s">
        <v>20</v>
      </c>
      <c r="H761" s="2" t="s">
        <v>1017</v>
      </c>
      <c r="I761">
        <v>1</v>
      </c>
      <c r="J761" t="str">
        <f>IF(Table1[[#This Row],[Resolution_Date]]="NA","Unresolved","Resolved")</f>
        <v>Resolved</v>
      </c>
      <c r="K761">
        <f>IF(Table1[[#This Row],[Resolution_Date]]="NA"," ",Table1[[#This Row],[Resolution_Date]]-Table1[[#This Row],[Complaint_Date]])</f>
        <v>2</v>
      </c>
      <c r="L761" t="str">
        <f>TEXT(Table1[[#This Row],[Complaint_Date]],"MMM")</f>
        <v>Jul</v>
      </c>
      <c r="M761" t="str">
        <f>IF(Table1[[#This Row],[Resolution_Time_Hours]]&lt;=24,"Fast",IF(Table1[[#This Row],[Resolution_Time_Hours]]&lt;=72,"Medium","Slow"))</f>
        <v>Medium</v>
      </c>
    </row>
    <row r="762" spans="1:13" x14ac:dyDescent="0.3">
      <c r="A762" t="s">
        <v>1888</v>
      </c>
      <c r="B762" t="s">
        <v>1889</v>
      </c>
      <c r="C762" t="s">
        <v>48</v>
      </c>
      <c r="D762" t="s">
        <v>38</v>
      </c>
      <c r="E762" s="2" t="s">
        <v>729</v>
      </c>
      <c r="F762">
        <v>10</v>
      </c>
      <c r="G762" t="s">
        <v>40</v>
      </c>
      <c r="H762" s="2" t="s">
        <v>2820</v>
      </c>
      <c r="J762" t="str">
        <f>IF(Table1[[#This Row],[Resolution_Date]]="NA","Unresolved","Resolved")</f>
        <v>Unresolved</v>
      </c>
      <c r="K762" t="str">
        <f>IF(Table1[[#This Row],[Resolution_Date]]="NA"," ",Table1[[#This Row],[Resolution_Date]]-Table1[[#This Row],[Complaint_Date]])</f>
        <v xml:space="preserve"> </v>
      </c>
      <c r="L762" t="str">
        <f>TEXT(Table1[[#This Row],[Complaint_Date]],"MMM")</f>
        <v>Oct</v>
      </c>
      <c r="M762" t="str">
        <f>IF(Table1[[#This Row],[Resolution_Time_Hours]]&lt;=24,"Fast",IF(Table1[[#This Row],[Resolution_Time_Hours]]&lt;=72,"Medium","Slow"))</f>
        <v>Fast</v>
      </c>
    </row>
    <row r="763" spans="1:13" x14ac:dyDescent="0.3">
      <c r="A763" t="s">
        <v>1890</v>
      </c>
      <c r="B763" t="s">
        <v>1891</v>
      </c>
      <c r="C763" t="s">
        <v>110</v>
      </c>
      <c r="D763" t="s">
        <v>95</v>
      </c>
      <c r="E763" s="2" t="s">
        <v>140</v>
      </c>
      <c r="F763">
        <v>20</v>
      </c>
      <c r="G763" t="s">
        <v>20</v>
      </c>
      <c r="H763" s="2" t="s">
        <v>140</v>
      </c>
      <c r="I763">
        <v>3</v>
      </c>
      <c r="J763" t="str">
        <f>IF(Table1[[#This Row],[Resolution_Date]]="NA","Unresolved","Resolved")</f>
        <v>Resolved</v>
      </c>
      <c r="K763">
        <f>IF(Table1[[#This Row],[Resolution_Date]]="NA"," ",Table1[[#This Row],[Resolution_Date]]-Table1[[#This Row],[Complaint_Date]])</f>
        <v>0</v>
      </c>
      <c r="L763" t="str">
        <f>TEXT(Table1[[#This Row],[Complaint_Date]],"MMM")</f>
        <v>Nov</v>
      </c>
      <c r="M763" t="str">
        <f>IF(Table1[[#This Row],[Resolution_Time_Hours]]&lt;=24,"Fast",IF(Table1[[#This Row],[Resolution_Time_Hours]]&lt;=72,"Medium","Slow"))</f>
        <v>Fast</v>
      </c>
    </row>
    <row r="764" spans="1:13" x14ac:dyDescent="0.3">
      <c r="A764" t="s">
        <v>1892</v>
      </c>
      <c r="B764" t="s">
        <v>1893</v>
      </c>
      <c r="C764" t="s">
        <v>34</v>
      </c>
      <c r="D764" t="s">
        <v>12</v>
      </c>
      <c r="E764" s="2" t="s">
        <v>1328</v>
      </c>
      <c r="F764">
        <v>93</v>
      </c>
      <c r="G764" t="s">
        <v>14</v>
      </c>
      <c r="H764" s="2" t="s">
        <v>2820</v>
      </c>
      <c r="J764" t="str">
        <f>IF(Table1[[#This Row],[Resolution_Date]]="NA","Unresolved","Resolved")</f>
        <v>Unresolved</v>
      </c>
      <c r="K764" t="str">
        <f>IF(Table1[[#This Row],[Resolution_Date]]="NA"," ",Table1[[#This Row],[Resolution_Date]]-Table1[[#This Row],[Complaint_Date]])</f>
        <v xml:space="preserve"> </v>
      </c>
      <c r="L764" t="str">
        <f>TEXT(Table1[[#This Row],[Complaint_Date]],"MMM")</f>
        <v>Jan</v>
      </c>
      <c r="M764" t="str">
        <f>IF(Table1[[#This Row],[Resolution_Time_Hours]]&lt;=24,"Fast",IF(Table1[[#This Row],[Resolution_Time_Hours]]&lt;=72,"Medium","Slow"))</f>
        <v>Slow</v>
      </c>
    </row>
    <row r="765" spans="1:13" x14ac:dyDescent="0.3">
      <c r="A765" t="s">
        <v>1894</v>
      </c>
      <c r="B765" t="s">
        <v>1895</v>
      </c>
      <c r="C765" t="s">
        <v>17</v>
      </c>
      <c r="D765" t="s">
        <v>18</v>
      </c>
      <c r="E765" s="2" t="s">
        <v>228</v>
      </c>
      <c r="F765">
        <v>32</v>
      </c>
      <c r="G765" t="s">
        <v>14</v>
      </c>
      <c r="H765" s="2" t="s">
        <v>2820</v>
      </c>
      <c r="J765" t="str">
        <f>IF(Table1[[#This Row],[Resolution_Date]]="NA","Unresolved","Resolved")</f>
        <v>Unresolved</v>
      </c>
      <c r="K765" t="str">
        <f>IF(Table1[[#This Row],[Resolution_Date]]="NA"," ",Table1[[#This Row],[Resolution_Date]]-Table1[[#This Row],[Complaint_Date]])</f>
        <v xml:space="preserve"> </v>
      </c>
      <c r="L765" t="str">
        <f>TEXT(Table1[[#This Row],[Complaint_Date]],"MMM")</f>
        <v>Apr</v>
      </c>
      <c r="M765" t="str">
        <f>IF(Table1[[#This Row],[Resolution_Time_Hours]]&lt;=24,"Fast",IF(Table1[[#This Row],[Resolution_Time_Hours]]&lt;=72,"Medium","Slow"))</f>
        <v>Medium</v>
      </c>
    </row>
    <row r="766" spans="1:13" x14ac:dyDescent="0.3">
      <c r="A766" t="s">
        <v>1896</v>
      </c>
      <c r="B766" t="s">
        <v>1897</v>
      </c>
      <c r="C766" t="s">
        <v>43</v>
      </c>
      <c r="D766" t="s">
        <v>12</v>
      </c>
      <c r="E766" s="2" t="s">
        <v>201</v>
      </c>
      <c r="F766">
        <v>56</v>
      </c>
      <c r="G766" t="s">
        <v>20</v>
      </c>
      <c r="H766" s="2" t="s">
        <v>127</v>
      </c>
      <c r="I766">
        <v>1</v>
      </c>
      <c r="J766" t="str">
        <f>IF(Table1[[#This Row],[Resolution_Date]]="NA","Unresolved","Resolved")</f>
        <v>Resolved</v>
      </c>
      <c r="K766">
        <f>IF(Table1[[#This Row],[Resolution_Date]]="NA"," ",Table1[[#This Row],[Resolution_Date]]-Table1[[#This Row],[Complaint_Date]])</f>
        <v>2</v>
      </c>
      <c r="L766" t="str">
        <f>TEXT(Table1[[#This Row],[Complaint_Date]],"MMM")</f>
        <v>Aug</v>
      </c>
      <c r="M766" t="str">
        <f>IF(Table1[[#This Row],[Resolution_Time_Hours]]&lt;=24,"Fast",IF(Table1[[#This Row],[Resolution_Time_Hours]]&lt;=72,"Medium","Slow"))</f>
        <v>Medium</v>
      </c>
    </row>
    <row r="767" spans="1:13" x14ac:dyDescent="0.3">
      <c r="A767" t="s">
        <v>1898</v>
      </c>
      <c r="B767" t="s">
        <v>1899</v>
      </c>
      <c r="C767" t="s">
        <v>43</v>
      </c>
      <c r="D767" t="s">
        <v>18</v>
      </c>
      <c r="E767" s="2" t="s">
        <v>452</v>
      </c>
      <c r="F767">
        <v>28</v>
      </c>
      <c r="G767" t="s">
        <v>14</v>
      </c>
      <c r="H767" s="2" t="s">
        <v>2820</v>
      </c>
      <c r="J767" t="str">
        <f>IF(Table1[[#This Row],[Resolution_Date]]="NA","Unresolved","Resolved")</f>
        <v>Unresolved</v>
      </c>
      <c r="K767" t="str">
        <f>IF(Table1[[#This Row],[Resolution_Date]]="NA"," ",Table1[[#This Row],[Resolution_Date]]-Table1[[#This Row],[Complaint_Date]])</f>
        <v xml:space="preserve"> </v>
      </c>
      <c r="L767" t="str">
        <f>TEXT(Table1[[#This Row],[Complaint_Date]],"MMM")</f>
        <v>Dec</v>
      </c>
      <c r="M767" t="str">
        <f>IF(Table1[[#This Row],[Resolution_Time_Hours]]&lt;=24,"Fast",IF(Table1[[#This Row],[Resolution_Time_Hours]]&lt;=72,"Medium","Slow"))</f>
        <v>Medium</v>
      </c>
    </row>
    <row r="768" spans="1:13" x14ac:dyDescent="0.3">
      <c r="A768" t="s">
        <v>1900</v>
      </c>
      <c r="B768" t="s">
        <v>1901</v>
      </c>
      <c r="C768" t="s">
        <v>43</v>
      </c>
      <c r="D768" t="s">
        <v>95</v>
      </c>
      <c r="E768" s="2" t="s">
        <v>1902</v>
      </c>
      <c r="F768">
        <v>38</v>
      </c>
      <c r="G768" t="s">
        <v>40</v>
      </c>
      <c r="H768" s="2" t="s">
        <v>2820</v>
      </c>
      <c r="J768" t="str">
        <f>IF(Table1[[#This Row],[Resolution_Date]]="NA","Unresolved","Resolved")</f>
        <v>Unresolved</v>
      </c>
      <c r="K768" t="str">
        <f>IF(Table1[[#This Row],[Resolution_Date]]="NA"," ",Table1[[#This Row],[Resolution_Date]]-Table1[[#This Row],[Complaint_Date]])</f>
        <v xml:space="preserve"> </v>
      </c>
      <c r="L768" t="str">
        <f>TEXT(Table1[[#This Row],[Complaint_Date]],"MMM")</f>
        <v>Oct</v>
      </c>
      <c r="M768" t="str">
        <f>IF(Table1[[#This Row],[Resolution_Time_Hours]]&lt;=24,"Fast",IF(Table1[[#This Row],[Resolution_Time_Hours]]&lt;=72,"Medium","Slow"))</f>
        <v>Medium</v>
      </c>
    </row>
    <row r="769" spans="1:13" x14ac:dyDescent="0.3">
      <c r="A769" t="s">
        <v>1903</v>
      </c>
      <c r="B769" t="s">
        <v>1904</v>
      </c>
      <c r="C769" t="s">
        <v>110</v>
      </c>
      <c r="D769" t="s">
        <v>27</v>
      </c>
      <c r="E769" s="2" t="s">
        <v>619</v>
      </c>
      <c r="F769">
        <v>18</v>
      </c>
      <c r="G769" t="s">
        <v>20</v>
      </c>
      <c r="H769" s="2" t="s">
        <v>619</v>
      </c>
      <c r="I769">
        <v>3</v>
      </c>
      <c r="J769" t="str">
        <f>IF(Table1[[#This Row],[Resolution_Date]]="NA","Unresolved","Resolved")</f>
        <v>Resolved</v>
      </c>
      <c r="K769">
        <f>IF(Table1[[#This Row],[Resolution_Date]]="NA"," ",Table1[[#This Row],[Resolution_Date]]-Table1[[#This Row],[Complaint_Date]])</f>
        <v>0</v>
      </c>
      <c r="L769" t="str">
        <f>TEXT(Table1[[#This Row],[Complaint_Date]],"MMM")</f>
        <v>Mar</v>
      </c>
      <c r="M769" t="str">
        <f>IF(Table1[[#This Row],[Resolution_Time_Hours]]&lt;=24,"Fast",IF(Table1[[#This Row],[Resolution_Time_Hours]]&lt;=72,"Medium","Slow"))</f>
        <v>Fast</v>
      </c>
    </row>
    <row r="770" spans="1:13" x14ac:dyDescent="0.3">
      <c r="A770" t="s">
        <v>1905</v>
      </c>
      <c r="B770" t="s">
        <v>1906</v>
      </c>
      <c r="C770" t="s">
        <v>11</v>
      </c>
      <c r="D770" t="s">
        <v>95</v>
      </c>
      <c r="E770" s="2" t="s">
        <v>277</v>
      </c>
      <c r="F770">
        <v>15</v>
      </c>
      <c r="G770" t="s">
        <v>20</v>
      </c>
      <c r="H770" s="2" t="s">
        <v>277</v>
      </c>
      <c r="I770">
        <v>3</v>
      </c>
      <c r="J770" t="str">
        <f>IF(Table1[[#This Row],[Resolution_Date]]="NA","Unresolved","Resolved")</f>
        <v>Resolved</v>
      </c>
      <c r="K770">
        <f>IF(Table1[[#This Row],[Resolution_Date]]="NA"," ",Table1[[#This Row],[Resolution_Date]]-Table1[[#This Row],[Complaint_Date]])</f>
        <v>0</v>
      </c>
      <c r="L770" t="str">
        <f>TEXT(Table1[[#This Row],[Complaint_Date]],"MMM")</f>
        <v>Dec</v>
      </c>
      <c r="M770" t="str">
        <f>IF(Table1[[#This Row],[Resolution_Time_Hours]]&lt;=24,"Fast",IF(Table1[[#This Row],[Resolution_Time_Hours]]&lt;=72,"Medium","Slow"))</f>
        <v>Fast</v>
      </c>
    </row>
    <row r="771" spans="1:13" x14ac:dyDescent="0.3">
      <c r="A771" t="s">
        <v>1907</v>
      </c>
      <c r="B771" t="s">
        <v>1908</v>
      </c>
      <c r="C771" t="s">
        <v>48</v>
      </c>
      <c r="D771" t="s">
        <v>27</v>
      </c>
      <c r="E771" s="2" t="s">
        <v>595</v>
      </c>
      <c r="F771">
        <v>14</v>
      </c>
      <c r="G771" t="s">
        <v>40</v>
      </c>
      <c r="H771" s="2" t="s">
        <v>2820</v>
      </c>
      <c r="J771" t="str">
        <f>IF(Table1[[#This Row],[Resolution_Date]]="NA","Unresolved","Resolved")</f>
        <v>Unresolved</v>
      </c>
      <c r="K771" t="str">
        <f>IF(Table1[[#This Row],[Resolution_Date]]="NA"," ",Table1[[#This Row],[Resolution_Date]]-Table1[[#This Row],[Complaint_Date]])</f>
        <v xml:space="preserve"> </v>
      </c>
      <c r="L771" t="str">
        <f>TEXT(Table1[[#This Row],[Complaint_Date]],"MMM")</f>
        <v>Apr</v>
      </c>
      <c r="M771" t="str">
        <f>IF(Table1[[#This Row],[Resolution_Time_Hours]]&lt;=24,"Fast",IF(Table1[[#This Row],[Resolution_Time_Hours]]&lt;=72,"Medium","Slow"))</f>
        <v>Fast</v>
      </c>
    </row>
    <row r="772" spans="1:13" x14ac:dyDescent="0.3">
      <c r="A772" t="s">
        <v>1909</v>
      </c>
      <c r="B772" t="s">
        <v>1910</v>
      </c>
      <c r="C772" t="s">
        <v>70</v>
      </c>
      <c r="D772" t="s">
        <v>38</v>
      </c>
      <c r="E772" s="2" t="s">
        <v>654</v>
      </c>
      <c r="F772">
        <v>17</v>
      </c>
      <c r="G772" t="s">
        <v>40</v>
      </c>
      <c r="H772" s="2" t="s">
        <v>2820</v>
      </c>
      <c r="J772" t="str">
        <f>IF(Table1[[#This Row],[Resolution_Date]]="NA","Unresolved","Resolved")</f>
        <v>Unresolved</v>
      </c>
      <c r="K772" t="str">
        <f>IF(Table1[[#This Row],[Resolution_Date]]="NA"," ",Table1[[#This Row],[Resolution_Date]]-Table1[[#This Row],[Complaint_Date]])</f>
        <v xml:space="preserve"> </v>
      </c>
      <c r="L772" t="str">
        <f>TEXT(Table1[[#This Row],[Complaint_Date]],"MMM")</f>
        <v>Dec</v>
      </c>
      <c r="M772" t="str">
        <f>IF(Table1[[#This Row],[Resolution_Time_Hours]]&lt;=24,"Fast",IF(Table1[[#This Row],[Resolution_Time_Hours]]&lt;=72,"Medium","Slow"))</f>
        <v>Fast</v>
      </c>
    </row>
    <row r="773" spans="1:13" x14ac:dyDescent="0.3">
      <c r="A773" t="s">
        <v>1911</v>
      </c>
      <c r="B773" t="s">
        <v>1912</v>
      </c>
      <c r="C773" t="s">
        <v>17</v>
      </c>
      <c r="D773" t="s">
        <v>38</v>
      </c>
      <c r="E773" s="2" t="s">
        <v>1913</v>
      </c>
      <c r="F773">
        <v>24</v>
      </c>
      <c r="G773" t="s">
        <v>20</v>
      </c>
      <c r="H773" s="2" t="s">
        <v>408</v>
      </c>
      <c r="I773">
        <v>3</v>
      </c>
      <c r="J773" t="str">
        <f>IF(Table1[[#This Row],[Resolution_Date]]="NA","Unresolved","Resolved")</f>
        <v>Resolved</v>
      </c>
      <c r="K773">
        <f>IF(Table1[[#This Row],[Resolution_Date]]="NA"," ",Table1[[#This Row],[Resolution_Date]]-Table1[[#This Row],[Complaint_Date]])</f>
        <v>1</v>
      </c>
      <c r="L773" t="str">
        <f>TEXT(Table1[[#This Row],[Complaint_Date]],"MMM")</f>
        <v>Jul</v>
      </c>
      <c r="M773" t="str">
        <f>IF(Table1[[#This Row],[Resolution_Time_Hours]]&lt;=24,"Fast",IF(Table1[[#This Row],[Resolution_Time_Hours]]&lt;=72,"Medium","Slow"))</f>
        <v>Fast</v>
      </c>
    </row>
    <row r="774" spans="1:13" x14ac:dyDescent="0.3">
      <c r="A774" t="s">
        <v>1914</v>
      </c>
      <c r="B774" t="s">
        <v>1915</v>
      </c>
      <c r="C774" t="s">
        <v>43</v>
      </c>
      <c r="D774" t="s">
        <v>38</v>
      </c>
      <c r="E774" s="2" t="s">
        <v>159</v>
      </c>
      <c r="F774">
        <v>33</v>
      </c>
      <c r="G774" t="s">
        <v>20</v>
      </c>
      <c r="H774" s="2" t="s">
        <v>160</v>
      </c>
      <c r="I774">
        <v>2</v>
      </c>
      <c r="J774" t="str">
        <f>IF(Table1[[#This Row],[Resolution_Date]]="NA","Unresolved","Resolved")</f>
        <v>Resolved</v>
      </c>
      <c r="K774">
        <f>IF(Table1[[#This Row],[Resolution_Date]]="NA"," ",Table1[[#This Row],[Resolution_Date]]-Table1[[#This Row],[Complaint_Date]])</f>
        <v>1</v>
      </c>
      <c r="L774" t="str">
        <f>TEXT(Table1[[#This Row],[Complaint_Date]],"MMM")</f>
        <v>May</v>
      </c>
      <c r="M774" t="str">
        <f>IF(Table1[[#This Row],[Resolution_Time_Hours]]&lt;=24,"Fast",IF(Table1[[#This Row],[Resolution_Time_Hours]]&lt;=72,"Medium","Slow"))</f>
        <v>Medium</v>
      </c>
    </row>
    <row r="775" spans="1:13" x14ac:dyDescent="0.3">
      <c r="A775" t="s">
        <v>1916</v>
      </c>
      <c r="B775" t="s">
        <v>1917</v>
      </c>
      <c r="C775" t="s">
        <v>43</v>
      </c>
      <c r="D775" t="s">
        <v>38</v>
      </c>
      <c r="E775" s="2" t="s">
        <v>261</v>
      </c>
      <c r="F775">
        <v>63</v>
      </c>
      <c r="G775" t="s">
        <v>20</v>
      </c>
      <c r="H775" s="2" t="s">
        <v>619</v>
      </c>
      <c r="I775">
        <v>1</v>
      </c>
      <c r="J775" t="str">
        <f>IF(Table1[[#This Row],[Resolution_Date]]="NA","Unresolved","Resolved")</f>
        <v>Resolved</v>
      </c>
      <c r="K775">
        <f>IF(Table1[[#This Row],[Resolution_Date]]="NA"," ",Table1[[#This Row],[Resolution_Date]]-Table1[[#This Row],[Complaint_Date]])</f>
        <v>2</v>
      </c>
      <c r="L775" t="str">
        <f>TEXT(Table1[[#This Row],[Complaint_Date]],"MMM")</f>
        <v>Mar</v>
      </c>
      <c r="M775" t="str">
        <f>IF(Table1[[#This Row],[Resolution_Time_Hours]]&lt;=24,"Fast",IF(Table1[[#This Row],[Resolution_Time_Hours]]&lt;=72,"Medium","Slow"))</f>
        <v>Medium</v>
      </c>
    </row>
    <row r="776" spans="1:13" x14ac:dyDescent="0.3">
      <c r="A776" t="s">
        <v>1918</v>
      </c>
      <c r="B776" t="s">
        <v>1919</v>
      </c>
      <c r="C776" t="s">
        <v>110</v>
      </c>
      <c r="D776" t="s">
        <v>12</v>
      </c>
      <c r="E776" s="2" t="s">
        <v>23</v>
      </c>
      <c r="F776">
        <v>8</v>
      </c>
      <c r="G776" t="s">
        <v>14</v>
      </c>
      <c r="H776" s="2" t="s">
        <v>2820</v>
      </c>
      <c r="J776" t="str">
        <f>IF(Table1[[#This Row],[Resolution_Date]]="NA","Unresolved","Resolved")</f>
        <v>Unresolved</v>
      </c>
      <c r="K776" t="str">
        <f>IF(Table1[[#This Row],[Resolution_Date]]="NA"," ",Table1[[#This Row],[Resolution_Date]]-Table1[[#This Row],[Complaint_Date]])</f>
        <v xml:space="preserve"> </v>
      </c>
      <c r="L776" t="str">
        <f>TEXT(Table1[[#This Row],[Complaint_Date]],"MMM")</f>
        <v>Sep</v>
      </c>
      <c r="M776" t="str">
        <f>IF(Table1[[#This Row],[Resolution_Time_Hours]]&lt;=24,"Fast",IF(Table1[[#This Row],[Resolution_Time_Hours]]&lt;=72,"Medium","Slow"))</f>
        <v>Fast</v>
      </c>
    </row>
    <row r="777" spans="1:13" x14ac:dyDescent="0.3">
      <c r="A777" t="s">
        <v>1920</v>
      </c>
      <c r="B777" t="s">
        <v>1921</v>
      </c>
      <c r="C777" t="s">
        <v>17</v>
      </c>
      <c r="D777" t="s">
        <v>38</v>
      </c>
      <c r="E777" s="2" t="s">
        <v>96</v>
      </c>
      <c r="F777">
        <v>8</v>
      </c>
      <c r="G777" t="s">
        <v>40</v>
      </c>
      <c r="H777" s="2" t="s">
        <v>2820</v>
      </c>
      <c r="J777" t="str">
        <f>IF(Table1[[#This Row],[Resolution_Date]]="NA","Unresolved","Resolved")</f>
        <v>Unresolved</v>
      </c>
      <c r="K777" t="str">
        <f>IF(Table1[[#This Row],[Resolution_Date]]="NA"," ",Table1[[#This Row],[Resolution_Date]]-Table1[[#This Row],[Complaint_Date]])</f>
        <v xml:space="preserve"> </v>
      </c>
      <c r="L777" t="str">
        <f>TEXT(Table1[[#This Row],[Complaint_Date]],"MMM")</f>
        <v>Feb</v>
      </c>
      <c r="M777" t="str">
        <f>IF(Table1[[#This Row],[Resolution_Time_Hours]]&lt;=24,"Fast",IF(Table1[[#This Row],[Resolution_Time_Hours]]&lt;=72,"Medium","Slow"))</f>
        <v>Fast</v>
      </c>
    </row>
    <row r="778" spans="1:13" x14ac:dyDescent="0.3">
      <c r="A778" t="s">
        <v>1922</v>
      </c>
      <c r="B778" t="s">
        <v>1923</v>
      </c>
      <c r="C778" t="s">
        <v>48</v>
      </c>
      <c r="D778" t="s">
        <v>12</v>
      </c>
      <c r="E778" s="2" t="s">
        <v>339</v>
      </c>
      <c r="F778">
        <v>38</v>
      </c>
      <c r="G778" t="s">
        <v>20</v>
      </c>
      <c r="H778" s="2" t="s">
        <v>911</v>
      </c>
      <c r="I778">
        <v>2</v>
      </c>
      <c r="J778" t="str">
        <f>IF(Table1[[#This Row],[Resolution_Date]]="NA","Unresolved","Resolved")</f>
        <v>Resolved</v>
      </c>
      <c r="K778">
        <f>IF(Table1[[#This Row],[Resolution_Date]]="NA"," ",Table1[[#This Row],[Resolution_Date]]-Table1[[#This Row],[Complaint_Date]])</f>
        <v>1</v>
      </c>
      <c r="L778" t="str">
        <f>TEXT(Table1[[#This Row],[Complaint_Date]],"MMM")</f>
        <v>Apr</v>
      </c>
      <c r="M778" t="str">
        <f>IF(Table1[[#This Row],[Resolution_Time_Hours]]&lt;=24,"Fast",IF(Table1[[#This Row],[Resolution_Time_Hours]]&lt;=72,"Medium","Slow"))</f>
        <v>Medium</v>
      </c>
    </row>
    <row r="779" spans="1:13" x14ac:dyDescent="0.3">
      <c r="A779" t="s">
        <v>1924</v>
      </c>
      <c r="B779" t="s">
        <v>1925</v>
      </c>
      <c r="C779" t="s">
        <v>53</v>
      </c>
      <c r="D779" t="s">
        <v>95</v>
      </c>
      <c r="E779" s="2" t="s">
        <v>1849</v>
      </c>
      <c r="F779">
        <v>8</v>
      </c>
      <c r="G779" t="s">
        <v>20</v>
      </c>
      <c r="H779" s="2" t="s">
        <v>1849</v>
      </c>
      <c r="I779">
        <v>4</v>
      </c>
      <c r="J779" t="str">
        <f>IF(Table1[[#This Row],[Resolution_Date]]="NA","Unresolved","Resolved")</f>
        <v>Resolved</v>
      </c>
      <c r="K779">
        <f>IF(Table1[[#This Row],[Resolution_Date]]="NA"," ",Table1[[#This Row],[Resolution_Date]]-Table1[[#This Row],[Complaint_Date]])</f>
        <v>0</v>
      </c>
      <c r="L779" t="str">
        <f>TEXT(Table1[[#This Row],[Complaint_Date]],"MMM")</f>
        <v>Dec</v>
      </c>
      <c r="M779" t="str">
        <f>IF(Table1[[#This Row],[Resolution_Time_Hours]]&lt;=24,"Fast",IF(Table1[[#This Row],[Resolution_Time_Hours]]&lt;=72,"Medium","Slow"))</f>
        <v>Fast</v>
      </c>
    </row>
    <row r="780" spans="1:13" x14ac:dyDescent="0.3">
      <c r="A780" t="s">
        <v>1926</v>
      </c>
      <c r="B780" t="s">
        <v>1927</v>
      </c>
      <c r="C780" t="s">
        <v>34</v>
      </c>
      <c r="D780" t="s">
        <v>38</v>
      </c>
      <c r="E780" s="2" t="s">
        <v>511</v>
      </c>
      <c r="F780">
        <v>34</v>
      </c>
      <c r="G780" t="s">
        <v>20</v>
      </c>
      <c r="H780" s="2" t="s">
        <v>1247</v>
      </c>
      <c r="I780">
        <v>5</v>
      </c>
      <c r="J780" t="str">
        <f>IF(Table1[[#This Row],[Resolution_Date]]="NA","Unresolved","Resolved")</f>
        <v>Resolved</v>
      </c>
      <c r="K780">
        <f>IF(Table1[[#This Row],[Resolution_Date]]="NA"," ",Table1[[#This Row],[Resolution_Date]]-Table1[[#This Row],[Complaint_Date]])</f>
        <v>1</v>
      </c>
      <c r="L780" t="str">
        <f>TEXT(Table1[[#This Row],[Complaint_Date]],"MMM")</f>
        <v>Jul</v>
      </c>
      <c r="M780" t="str">
        <f>IF(Table1[[#This Row],[Resolution_Time_Hours]]&lt;=24,"Fast",IF(Table1[[#This Row],[Resolution_Time_Hours]]&lt;=72,"Medium","Slow"))</f>
        <v>Medium</v>
      </c>
    </row>
    <row r="781" spans="1:13" x14ac:dyDescent="0.3">
      <c r="A781" t="s">
        <v>1928</v>
      </c>
      <c r="B781" t="s">
        <v>1929</v>
      </c>
      <c r="C781" t="s">
        <v>17</v>
      </c>
      <c r="D781" t="s">
        <v>18</v>
      </c>
      <c r="E781" s="2" t="s">
        <v>389</v>
      </c>
      <c r="F781">
        <v>22</v>
      </c>
      <c r="G781" t="s">
        <v>20</v>
      </c>
      <c r="H781" s="2" t="s">
        <v>389</v>
      </c>
      <c r="I781">
        <v>3</v>
      </c>
      <c r="J781" t="str">
        <f>IF(Table1[[#This Row],[Resolution_Date]]="NA","Unresolved","Resolved")</f>
        <v>Resolved</v>
      </c>
      <c r="K781">
        <f>IF(Table1[[#This Row],[Resolution_Date]]="NA"," ",Table1[[#This Row],[Resolution_Date]]-Table1[[#This Row],[Complaint_Date]])</f>
        <v>0</v>
      </c>
      <c r="L781" t="str">
        <f>TEXT(Table1[[#This Row],[Complaint_Date]],"MMM")</f>
        <v>Feb</v>
      </c>
      <c r="M781" t="str">
        <f>IF(Table1[[#This Row],[Resolution_Time_Hours]]&lt;=24,"Fast",IF(Table1[[#This Row],[Resolution_Time_Hours]]&lt;=72,"Medium","Slow"))</f>
        <v>Fast</v>
      </c>
    </row>
    <row r="782" spans="1:13" x14ac:dyDescent="0.3">
      <c r="A782" t="s">
        <v>1930</v>
      </c>
      <c r="B782" t="s">
        <v>1931</v>
      </c>
      <c r="C782" t="s">
        <v>53</v>
      </c>
      <c r="D782" t="s">
        <v>18</v>
      </c>
      <c r="E782" s="2" t="s">
        <v>1188</v>
      </c>
      <c r="F782">
        <v>7</v>
      </c>
      <c r="G782" t="s">
        <v>20</v>
      </c>
      <c r="H782" s="2" t="s">
        <v>1188</v>
      </c>
      <c r="I782">
        <v>4</v>
      </c>
      <c r="J782" t="str">
        <f>IF(Table1[[#This Row],[Resolution_Date]]="NA","Unresolved","Resolved")</f>
        <v>Resolved</v>
      </c>
      <c r="K782">
        <f>IF(Table1[[#This Row],[Resolution_Date]]="NA"," ",Table1[[#This Row],[Resolution_Date]]-Table1[[#This Row],[Complaint_Date]])</f>
        <v>0</v>
      </c>
      <c r="L782" t="str">
        <f>TEXT(Table1[[#This Row],[Complaint_Date]],"MMM")</f>
        <v>May</v>
      </c>
      <c r="M782" t="str">
        <f>IF(Table1[[#This Row],[Resolution_Time_Hours]]&lt;=24,"Fast",IF(Table1[[#This Row],[Resolution_Time_Hours]]&lt;=72,"Medium","Slow"))</f>
        <v>Fast</v>
      </c>
    </row>
    <row r="783" spans="1:13" x14ac:dyDescent="0.3">
      <c r="A783" t="s">
        <v>1932</v>
      </c>
      <c r="B783" t="s">
        <v>1933</v>
      </c>
      <c r="C783" t="s">
        <v>53</v>
      </c>
      <c r="D783" t="s">
        <v>12</v>
      </c>
      <c r="E783" s="2" t="s">
        <v>277</v>
      </c>
      <c r="F783">
        <v>8</v>
      </c>
      <c r="G783" t="s">
        <v>20</v>
      </c>
      <c r="H783" s="2" t="s">
        <v>277</v>
      </c>
      <c r="I783">
        <v>4</v>
      </c>
      <c r="J783" t="str">
        <f>IF(Table1[[#This Row],[Resolution_Date]]="NA","Unresolved","Resolved")</f>
        <v>Resolved</v>
      </c>
      <c r="K783">
        <f>IF(Table1[[#This Row],[Resolution_Date]]="NA"," ",Table1[[#This Row],[Resolution_Date]]-Table1[[#This Row],[Complaint_Date]])</f>
        <v>0</v>
      </c>
      <c r="L783" t="str">
        <f>TEXT(Table1[[#This Row],[Complaint_Date]],"MMM")</f>
        <v>Dec</v>
      </c>
      <c r="M783" t="str">
        <f>IF(Table1[[#This Row],[Resolution_Time_Hours]]&lt;=24,"Fast",IF(Table1[[#This Row],[Resolution_Time_Hours]]&lt;=72,"Medium","Slow"))</f>
        <v>Fast</v>
      </c>
    </row>
    <row r="784" spans="1:13" x14ac:dyDescent="0.3">
      <c r="A784" t="s">
        <v>1934</v>
      </c>
      <c r="B784" t="s">
        <v>1935</v>
      </c>
      <c r="C784" t="s">
        <v>43</v>
      </c>
      <c r="D784" t="s">
        <v>18</v>
      </c>
      <c r="E784" s="2" t="s">
        <v>85</v>
      </c>
      <c r="F784">
        <v>40</v>
      </c>
      <c r="G784" t="s">
        <v>20</v>
      </c>
      <c r="H784" s="2" t="s">
        <v>1220</v>
      </c>
      <c r="I784">
        <v>2</v>
      </c>
      <c r="J784" t="str">
        <f>IF(Table1[[#This Row],[Resolution_Date]]="NA","Unresolved","Resolved")</f>
        <v>Resolved</v>
      </c>
      <c r="K784">
        <f>IF(Table1[[#This Row],[Resolution_Date]]="NA"," ",Table1[[#This Row],[Resolution_Date]]-Table1[[#This Row],[Complaint_Date]])</f>
        <v>1</v>
      </c>
      <c r="L784" t="str">
        <f>TEXT(Table1[[#This Row],[Complaint_Date]],"MMM")</f>
        <v>Mar</v>
      </c>
      <c r="M784" t="str">
        <f>IF(Table1[[#This Row],[Resolution_Time_Hours]]&lt;=24,"Fast",IF(Table1[[#This Row],[Resolution_Time_Hours]]&lt;=72,"Medium","Slow"))</f>
        <v>Medium</v>
      </c>
    </row>
    <row r="785" spans="1:13" x14ac:dyDescent="0.3">
      <c r="A785" t="s">
        <v>1936</v>
      </c>
      <c r="B785" t="s">
        <v>1937</v>
      </c>
      <c r="C785" t="s">
        <v>110</v>
      </c>
      <c r="D785" t="s">
        <v>18</v>
      </c>
      <c r="E785" s="2" t="s">
        <v>434</v>
      </c>
      <c r="F785">
        <v>2</v>
      </c>
      <c r="G785" t="s">
        <v>20</v>
      </c>
      <c r="H785" s="2" t="s">
        <v>434</v>
      </c>
      <c r="I785">
        <v>5</v>
      </c>
      <c r="J785" t="str">
        <f>IF(Table1[[#This Row],[Resolution_Date]]="NA","Unresolved","Resolved")</f>
        <v>Resolved</v>
      </c>
      <c r="K785">
        <f>IF(Table1[[#This Row],[Resolution_Date]]="NA"," ",Table1[[#This Row],[Resolution_Date]]-Table1[[#This Row],[Complaint_Date]])</f>
        <v>0</v>
      </c>
      <c r="L785" t="str">
        <f>TEXT(Table1[[#This Row],[Complaint_Date]],"MMM")</f>
        <v>Jul</v>
      </c>
      <c r="M785" t="str">
        <f>IF(Table1[[#This Row],[Resolution_Time_Hours]]&lt;=24,"Fast",IF(Table1[[#This Row],[Resolution_Time_Hours]]&lt;=72,"Medium","Slow"))</f>
        <v>Fast</v>
      </c>
    </row>
    <row r="786" spans="1:13" x14ac:dyDescent="0.3">
      <c r="A786" t="s">
        <v>1938</v>
      </c>
      <c r="B786" t="s">
        <v>1939</v>
      </c>
      <c r="C786" t="s">
        <v>34</v>
      </c>
      <c r="D786" t="s">
        <v>27</v>
      </c>
      <c r="E786" s="2" t="s">
        <v>549</v>
      </c>
      <c r="F786">
        <v>84</v>
      </c>
      <c r="G786" t="s">
        <v>20</v>
      </c>
      <c r="H786" s="2" t="s">
        <v>189</v>
      </c>
      <c r="I786">
        <v>1</v>
      </c>
      <c r="J786" t="str">
        <f>IF(Table1[[#This Row],[Resolution_Date]]="NA","Unresolved","Resolved")</f>
        <v>Resolved</v>
      </c>
      <c r="K786">
        <f>IF(Table1[[#This Row],[Resolution_Date]]="NA"," ",Table1[[#This Row],[Resolution_Date]]-Table1[[#This Row],[Complaint_Date]])</f>
        <v>3</v>
      </c>
      <c r="L786" t="str">
        <f>TEXT(Table1[[#This Row],[Complaint_Date]],"MMM")</f>
        <v>Jan</v>
      </c>
      <c r="M786" t="str">
        <f>IF(Table1[[#This Row],[Resolution_Time_Hours]]&lt;=24,"Fast",IF(Table1[[#This Row],[Resolution_Time_Hours]]&lt;=72,"Medium","Slow"))</f>
        <v>Slow</v>
      </c>
    </row>
    <row r="787" spans="1:13" x14ac:dyDescent="0.3">
      <c r="A787" t="s">
        <v>1940</v>
      </c>
      <c r="B787" t="s">
        <v>1941</v>
      </c>
      <c r="C787" t="s">
        <v>110</v>
      </c>
      <c r="D787" t="s">
        <v>27</v>
      </c>
      <c r="E787" s="2" t="s">
        <v>538</v>
      </c>
      <c r="F787">
        <v>12</v>
      </c>
      <c r="G787" t="s">
        <v>20</v>
      </c>
      <c r="H787" s="2" t="s">
        <v>538</v>
      </c>
      <c r="I787">
        <v>5</v>
      </c>
      <c r="J787" t="str">
        <f>IF(Table1[[#This Row],[Resolution_Date]]="NA","Unresolved","Resolved")</f>
        <v>Resolved</v>
      </c>
      <c r="K787">
        <f>IF(Table1[[#This Row],[Resolution_Date]]="NA"," ",Table1[[#This Row],[Resolution_Date]]-Table1[[#This Row],[Complaint_Date]])</f>
        <v>0</v>
      </c>
      <c r="L787" t="str">
        <f>TEXT(Table1[[#This Row],[Complaint_Date]],"MMM")</f>
        <v>Sep</v>
      </c>
      <c r="M787" t="str">
        <f>IF(Table1[[#This Row],[Resolution_Time_Hours]]&lt;=24,"Fast",IF(Table1[[#This Row],[Resolution_Time_Hours]]&lt;=72,"Medium","Slow"))</f>
        <v>Fast</v>
      </c>
    </row>
    <row r="788" spans="1:13" x14ac:dyDescent="0.3">
      <c r="A788" t="s">
        <v>1942</v>
      </c>
      <c r="B788" t="s">
        <v>1943</v>
      </c>
      <c r="C788" t="s">
        <v>17</v>
      </c>
      <c r="D788" t="s">
        <v>12</v>
      </c>
      <c r="E788" s="2" t="s">
        <v>1711</v>
      </c>
      <c r="F788">
        <v>19</v>
      </c>
      <c r="G788" t="s">
        <v>20</v>
      </c>
      <c r="H788" s="2" t="s">
        <v>1711</v>
      </c>
      <c r="I788">
        <v>5</v>
      </c>
      <c r="J788" t="str">
        <f>IF(Table1[[#This Row],[Resolution_Date]]="NA","Unresolved","Resolved")</f>
        <v>Resolved</v>
      </c>
      <c r="K788">
        <f>IF(Table1[[#This Row],[Resolution_Date]]="NA"," ",Table1[[#This Row],[Resolution_Date]]-Table1[[#This Row],[Complaint_Date]])</f>
        <v>0</v>
      </c>
      <c r="L788" t="str">
        <f>TEXT(Table1[[#This Row],[Complaint_Date]],"MMM")</f>
        <v>Jan</v>
      </c>
      <c r="M788" t="str">
        <f>IF(Table1[[#This Row],[Resolution_Time_Hours]]&lt;=24,"Fast",IF(Table1[[#This Row],[Resolution_Time_Hours]]&lt;=72,"Medium","Slow"))</f>
        <v>Fast</v>
      </c>
    </row>
    <row r="789" spans="1:13" x14ac:dyDescent="0.3">
      <c r="A789" t="s">
        <v>1944</v>
      </c>
      <c r="B789" t="s">
        <v>1945</v>
      </c>
      <c r="C789" t="s">
        <v>43</v>
      </c>
      <c r="D789" t="s">
        <v>95</v>
      </c>
      <c r="E789" s="2" t="s">
        <v>160</v>
      </c>
      <c r="F789">
        <v>72</v>
      </c>
      <c r="G789" t="s">
        <v>20</v>
      </c>
      <c r="H789" s="2" t="s">
        <v>214</v>
      </c>
      <c r="I789">
        <v>5</v>
      </c>
      <c r="J789" t="str">
        <f>IF(Table1[[#This Row],[Resolution_Date]]="NA","Unresolved","Resolved")</f>
        <v>Resolved</v>
      </c>
      <c r="K789">
        <f>IF(Table1[[#This Row],[Resolution_Date]]="NA"," ",Table1[[#This Row],[Resolution_Date]]-Table1[[#This Row],[Complaint_Date]])</f>
        <v>3</v>
      </c>
      <c r="L789" t="str">
        <f>TEXT(Table1[[#This Row],[Complaint_Date]],"MMM")</f>
        <v>May</v>
      </c>
      <c r="M789" t="str">
        <f>IF(Table1[[#This Row],[Resolution_Time_Hours]]&lt;=24,"Fast",IF(Table1[[#This Row],[Resolution_Time_Hours]]&lt;=72,"Medium","Slow"))</f>
        <v>Medium</v>
      </c>
    </row>
    <row r="790" spans="1:13" x14ac:dyDescent="0.3">
      <c r="A790" t="s">
        <v>1946</v>
      </c>
      <c r="B790" t="s">
        <v>1947</v>
      </c>
      <c r="C790" t="s">
        <v>11</v>
      </c>
      <c r="D790" t="s">
        <v>38</v>
      </c>
      <c r="E790" s="2" t="s">
        <v>1486</v>
      </c>
      <c r="F790">
        <v>48</v>
      </c>
      <c r="G790" t="s">
        <v>20</v>
      </c>
      <c r="H790" s="2" t="s">
        <v>918</v>
      </c>
      <c r="I790">
        <v>2</v>
      </c>
      <c r="J790" t="str">
        <f>IF(Table1[[#This Row],[Resolution_Date]]="NA","Unresolved","Resolved")</f>
        <v>Resolved</v>
      </c>
      <c r="K790">
        <f>IF(Table1[[#This Row],[Resolution_Date]]="NA"," ",Table1[[#This Row],[Resolution_Date]]-Table1[[#This Row],[Complaint_Date]])</f>
        <v>2</v>
      </c>
      <c r="L790" t="str">
        <f>TEXT(Table1[[#This Row],[Complaint_Date]],"MMM")</f>
        <v>Apr</v>
      </c>
      <c r="M790" t="str">
        <f>IF(Table1[[#This Row],[Resolution_Time_Hours]]&lt;=24,"Fast",IF(Table1[[#This Row],[Resolution_Time_Hours]]&lt;=72,"Medium","Slow"))</f>
        <v>Medium</v>
      </c>
    </row>
    <row r="791" spans="1:13" x14ac:dyDescent="0.3">
      <c r="A791" t="s">
        <v>1948</v>
      </c>
      <c r="B791" t="s">
        <v>1949</v>
      </c>
      <c r="C791" t="s">
        <v>17</v>
      </c>
      <c r="D791" t="s">
        <v>18</v>
      </c>
      <c r="E791" s="2" t="s">
        <v>313</v>
      </c>
      <c r="F791">
        <v>10</v>
      </c>
      <c r="G791" t="s">
        <v>40</v>
      </c>
      <c r="H791" s="2" t="s">
        <v>2820</v>
      </c>
      <c r="J791" t="str">
        <f>IF(Table1[[#This Row],[Resolution_Date]]="NA","Unresolved","Resolved")</f>
        <v>Unresolved</v>
      </c>
      <c r="K791" t="str">
        <f>IF(Table1[[#This Row],[Resolution_Date]]="NA"," ",Table1[[#This Row],[Resolution_Date]]-Table1[[#This Row],[Complaint_Date]])</f>
        <v xml:space="preserve"> </v>
      </c>
      <c r="L791" t="str">
        <f>TEXT(Table1[[#This Row],[Complaint_Date]],"MMM")</f>
        <v>May</v>
      </c>
      <c r="M791" t="str">
        <f>IF(Table1[[#This Row],[Resolution_Time_Hours]]&lt;=24,"Fast",IF(Table1[[#This Row],[Resolution_Time_Hours]]&lt;=72,"Medium","Slow"))</f>
        <v>Fast</v>
      </c>
    </row>
    <row r="792" spans="1:13" x14ac:dyDescent="0.3">
      <c r="A792" t="s">
        <v>1950</v>
      </c>
      <c r="B792" t="s">
        <v>1951</v>
      </c>
      <c r="C792" t="s">
        <v>53</v>
      </c>
      <c r="D792" t="s">
        <v>27</v>
      </c>
      <c r="E792" s="2" t="s">
        <v>806</v>
      </c>
      <c r="F792">
        <v>9</v>
      </c>
      <c r="G792" t="s">
        <v>20</v>
      </c>
      <c r="H792" s="2" t="s">
        <v>806</v>
      </c>
      <c r="I792">
        <v>4</v>
      </c>
      <c r="J792" t="str">
        <f>IF(Table1[[#This Row],[Resolution_Date]]="NA","Unresolved","Resolved")</f>
        <v>Resolved</v>
      </c>
      <c r="K792">
        <f>IF(Table1[[#This Row],[Resolution_Date]]="NA"," ",Table1[[#This Row],[Resolution_Date]]-Table1[[#This Row],[Complaint_Date]])</f>
        <v>0</v>
      </c>
      <c r="L792" t="str">
        <f>TEXT(Table1[[#This Row],[Complaint_Date]],"MMM")</f>
        <v>Jul</v>
      </c>
      <c r="M792" t="str">
        <f>IF(Table1[[#This Row],[Resolution_Time_Hours]]&lt;=24,"Fast",IF(Table1[[#This Row],[Resolution_Time_Hours]]&lt;=72,"Medium","Slow"))</f>
        <v>Fast</v>
      </c>
    </row>
    <row r="793" spans="1:13" x14ac:dyDescent="0.3">
      <c r="A793" t="s">
        <v>1952</v>
      </c>
      <c r="B793" t="s">
        <v>1953</v>
      </c>
      <c r="C793" t="s">
        <v>17</v>
      </c>
      <c r="D793" t="s">
        <v>95</v>
      </c>
      <c r="E793" s="2" t="s">
        <v>373</v>
      </c>
      <c r="F793">
        <v>10</v>
      </c>
      <c r="G793" t="s">
        <v>20</v>
      </c>
      <c r="H793" s="2" t="s">
        <v>373</v>
      </c>
      <c r="I793">
        <v>4</v>
      </c>
      <c r="J793" t="str">
        <f>IF(Table1[[#This Row],[Resolution_Date]]="NA","Unresolved","Resolved")</f>
        <v>Resolved</v>
      </c>
      <c r="K793">
        <f>IF(Table1[[#This Row],[Resolution_Date]]="NA"," ",Table1[[#This Row],[Resolution_Date]]-Table1[[#This Row],[Complaint_Date]])</f>
        <v>0</v>
      </c>
      <c r="L793" t="str">
        <f>TEXT(Table1[[#This Row],[Complaint_Date]],"MMM")</f>
        <v>Sep</v>
      </c>
      <c r="M793" t="str">
        <f>IF(Table1[[#This Row],[Resolution_Time_Hours]]&lt;=24,"Fast",IF(Table1[[#This Row],[Resolution_Time_Hours]]&lt;=72,"Medium","Slow"))</f>
        <v>Fast</v>
      </c>
    </row>
    <row r="794" spans="1:13" x14ac:dyDescent="0.3">
      <c r="A794" t="s">
        <v>1954</v>
      </c>
      <c r="B794" t="s">
        <v>1955</v>
      </c>
      <c r="C794" t="s">
        <v>43</v>
      </c>
      <c r="D794" t="s">
        <v>18</v>
      </c>
      <c r="E794" s="2" t="s">
        <v>562</v>
      </c>
      <c r="F794">
        <v>9</v>
      </c>
      <c r="G794" t="s">
        <v>20</v>
      </c>
      <c r="H794" s="2" t="s">
        <v>562</v>
      </c>
      <c r="I794">
        <v>4</v>
      </c>
      <c r="J794" t="str">
        <f>IF(Table1[[#This Row],[Resolution_Date]]="NA","Unresolved","Resolved")</f>
        <v>Resolved</v>
      </c>
      <c r="K794">
        <f>IF(Table1[[#This Row],[Resolution_Date]]="NA"," ",Table1[[#This Row],[Resolution_Date]]-Table1[[#This Row],[Complaint_Date]])</f>
        <v>0</v>
      </c>
      <c r="L794" t="str">
        <f>TEXT(Table1[[#This Row],[Complaint_Date]],"MMM")</f>
        <v>Jan</v>
      </c>
      <c r="M794" t="str">
        <f>IF(Table1[[#This Row],[Resolution_Time_Hours]]&lt;=24,"Fast",IF(Table1[[#This Row],[Resolution_Time_Hours]]&lt;=72,"Medium","Slow"))</f>
        <v>Fast</v>
      </c>
    </row>
    <row r="795" spans="1:13" x14ac:dyDescent="0.3">
      <c r="A795" t="s">
        <v>1956</v>
      </c>
      <c r="B795" t="s">
        <v>1957</v>
      </c>
      <c r="C795" t="s">
        <v>34</v>
      </c>
      <c r="D795" t="s">
        <v>38</v>
      </c>
      <c r="E795" s="2" t="s">
        <v>452</v>
      </c>
      <c r="F795">
        <v>76</v>
      </c>
      <c r="G795" t="s">
        <v>14</v>
      </c>
      <c r="H795" s="2" t="s">
        <v>2820</v>
      </c>
      <c r="J795" t="str">
        <f>IF(Table1[[#This Row],[Resolution_Date]]="NA","Unresolved","Resolved")</f>
        <v>Unresolved</v>
      </c>
      <c r="K795" t="str">
        <f>IF(Table1[[#This Row],[Resolution_Date]]="NA"," ",Table1[[#This Row],[Resolution_Date]]-Table1[[#This Row],[Complaint_Date]])</f>
        <v xml:space="preserve"> </v>
      </c>
      <c r="L795" t="str">
        <f>TEXT(Table1[[#This Row],[Complaint_Date]],"MMM")</f>
        <v>Dec</v>
      </c>
      <c r="M795" t="str">
        <f>IF(Table1[[#This Row],[Resolution_Time_Hours]]&lt;=24,"Fast",IF(Table1[[#This Row],[Resolution_Time_Hours]]&lt;=72,"Medium","Slow"))</f>
        <v>Slow</v>
      </c>
    </row>
    <row r="796" spans="1:13" x14ac:dyDescent="0.3">
      <c r="A796" t="s">
        <v>1958</v>
      </c>
      <c r="B796" t="s">
        <v>1959</v>
      </c>
      <c r="C796" t="s">
        <v>17</v>
      </c>
      <c r="D796" t="s">
        <v>18</v>
      </c>
      <c r="E796" s="2" t="s">
        <v>1960</v>
      </c>
      <c r="F796">
        <v>32</v>
      </c>
      <c r="G796" t="s">
        <v>14</v>
      </c>
      <c r="H796" s="2" t="s">
        <v>2820</v>
      </c>
      <c r="J796" t="str">
        <f>IF(Table1[[#This Row],[Resolution_Date]]="NA","Unresolved","Resolved")</f>
        <v>Unresolved</v>
      </c>
      <c r="K796" t="str">
        <f>IF(Table1[[#This Row],[Resolution_Date]]="NA"," ",Table1[[#This Row],[Resolution_Date]]-Table1[[#This Row],[Complaint_Date]])</f>
        <v xml:space="preserve"> </v>
      </c>
      <c r="L796" t="str">
        <f>TEXT(Table1[[#This Row],[Complaint_Date]],"MMM")</f>
        <v>Jun</v>
      </c>
      <c r="M796" t="str">
        <f>IF(Table1[[#This Row],[Resolution_Time_Hours]]&lt;=24,"Fast",IF(Table1[[#This Row],[Resolution_Time_Hours]]&lt;=72,"Medium","Slow"))</f>
        <v>Medium</v>
      </c>
    </row>
    <row r="797" spans="1:13" x14ac:dyDescent="0.3">
      <c r="A797" t="s">
        <v>1961</v>
      </c>
      <c r="B797" t="s">
        <v>1962</v>
      </c>
      <c r="C797" t="s">
        <v>70</v>
      </c>
      <c r="D797" t="s">
        <v>27</v>
      </c>
      <c r="E797" s="2" t="s">
        <v>147</v>
      </c>
      <c r="F797">
        <v>15</v>
      </c>
      <c r="G797" t="s">
        <v>20</v>
      </c>
      <c r="H797" s="2" t="s">
        <v>147</v>
      </c>
      <c r="I797">
        <v>3</v>
      </c>
      <c r="J797" t="str">
        <f>IF(Table1[[#This Row],[Resolution_Date]]="NA","Unresolved","Resolved")</f>
        <v>Resolved</v>
      </c>
      <c r="K797">
        <f>IF(Table1[[#This Row],[Resolution_Date]]="NA"," ",Table1[[#This Row],[Resolution_Date]]-Table1[[#This Row],[Complaint_Date]])</f>
        <v>0</v>
      </c>
      <c r="L797" t="str">
        <f>TEXT(Table1[[#This Row],[Complaint_Date]],"MMM")</f>
        <v>Aug</v>
      </c>
      <c r="M797" t="str">
        <f>IF(Table1[[#This Row],[Resolution_Time_Hours]]&lt;=24,"Fast",IF(Table1[[#This Row],[Resolution_Time_Hours]]&lt;=72,"Medium","Slow"))</f>
        <v>Fast</v>
      </c>
    </row>
    <row r="798" spans="1:13" x14ac:dyDescent="0.3">
      <c r="A798" t="s">
        <v>1963</v>
      </c>
      <c r="B798" t="s">
        <v>1964</v>
      </c>
      <c r="C798" t="s">
        <v>17</v>
      </c>
      <c r="D798" t="s">
        <v>12</v>
      </c>
      <c r="E798" s="2" t="s">
        <v>130</v>
      </c>
      <c r="F798">
        <v>11</v>
      </c>
      <c r="G798" t="s">
        <v>20</v>
      </c>
      <c r="H798" s="2" t="s">
        <v>130</v>
      </c>
      <c r="I798">
        <v>5</v>
      </c>
      <c r="J798" t="str">
        <f>IF(Table1[[#This Row],[Resolution_Date]]="NA","Unresolved","Resolved")</f>
        <v>Resolved</v>
      </c>
      <c r="K798">
        <f>IF(Table1[[#This Row],[Resolution_Date]]="NA"," ",Table1[[#This Row],[Resolution_Date]]-Table1[[#This Row],[Complaint_Date]])</f>
        <v>0</v>
      </c>
      <c r="L798" t="str">
        <f>TEXT(Table1[[#This Row],[Complaint_Date]],"MMM")</f>
        <v>Feb</v>
      </c>
      <c r="M798" t="str">
        <f>IF(Table1[[#This Row],[Resolution_Time_Hours]]&lt;=24,"Fast",IF(Table1[[#This Row],[Resolution_Time_Hours]]&lt;=72,"Medium","Slow"))</f>
        <v>Fast</v>
      </c>
    </row>
    <row r="799" spans="1:13" x14ac:dyDescent="0.3">
      <c r="A799" t="s">
        <v>1965</v>
      </c>
      <c r="B799" t="s">
        <v>1966</v>
      </c>
      <c r="C799" t="s">
        <v>110</v>
      </c>
      <c r="D799" t="s">
        <v>12</v>
      </c>
      <c r="E799" s="2" t="s">
        <v>156</v>
      </c>
      <c r="F799">
        <v>8</v>
      </c>
      <c r="G799" t="s">
        <v>40</v>
      </c>
      <c r="H799" s="2" t="s">
        <v>2820</v>
      </c>
      <c r="J799" t="str">
        <f>IF(Table1[[#This Row],[Resolution_Date]]="NA","Unresolved","Resolved")</f>
        <v>Unresolved</v>
      </c>
      <c r="K799" t="str">
        <f>IF(Table1[[#This Row],[Resolution_Date]]="NA"," ",Table1[[#This Row],[Resolution_Date]]-Table1[[#This Row],[Complaint_Date]])</f>
        <v xml:space="preserve"> </v>
      </c>
      <c r="L799" t="str">
        <f>TEXT(Table1[[#This Row],[Complaint_Date]],"MMM")</f>
        <v>Oct</v>
      </c>
      <c r="M799" t="str">
        <f>IF(Table1[[#This Row],[Resolution_Time_Hours]]&lt;=24,"Fast",IF(Table1[[#This Row],[Resolution_Time_Hours]]&lt;=72,"Medium","Slow"))</f>
        <v>Fast</v>
      </c>
    </row>
    <row r="800" spans="1:13" x14ac:dyDescent="0.3">
      <c r="A800" t="s">
        <v>1967</v>
      </c>
      <c r="B800" t="s">
        <v>1968</v>
      </c>
      <c r="C800" t="s">
        <v>48</v>
      </c>
      <c r="D800" t="s">
        <v>12</v>
      </c>
      <c r="E800" s="2" t="s">
        <v>510</v>
      </c>
      <c r="F800">
        <v>43</v>
      </c>
      <c r="G800" t="s">
        <v>20</v>
      </c>
      <c r="H800" s="2" t="s">
        <v>511</v>
      </c>
      <c r="I800">
        <v>2</v>
      </c>
      <c r="J800" t="str">
        <f>IF(Table1[[#This Row],[Resolution_Date]]="NA","Unresolved","Resolved")</f>
        <v>Resolved</v>
      </c>
      <c r="K800">
        <f>IF(Table1[[#This Row],[Resolution_Date]]="NA"," ",Table1[[#This Row],[Resolution_Date]]-Table1[[#This Row],[Complaint_Date]])</f>
        <v>1</v>
      </c>
      <c r="L800" t="str">
        <f>TEXT(Table1[[#This Row],[Complaint_Date]],"MMM")</f>
        <v>Jul</v>
      </c>
      <c r="M800" t="str">
        <f>IF(Table1[[#This Row],[Resolution_Time_Hours]]&lt;=24,"Fast",IF(Table1[[#This Row],[Resolution_Time_Hours]]&lt;=72,"Medium","Slow"))</f>
        <v>Medium</v>
      </c>
    </row>
    <row r="801" spans="1:13" x14ac:dyDescent="0.3">
      <c r="A801" t="s">
        <v>1969</v>
      </c>
      <c r="B801" t="s">
        <v>1970</v>
      </c>
      <c r="C801" t="s">
        <v>43</v>
      </c>
      <c r="D801" t="s">
        <v>12</v>
      </c>
      <c r="E801" s="2" t="s">
        <v>350</v>
      </c>
      <c r="F801">
        <v>44</v>
      </c>
      <c r="G801" t="s">
        <v>40</v>
      </c>
      <c r="H801" s="2" t="s">
        <v>2820</v>
      </c>
      <c r="J801" t="str">
        <f>IF(Table1[[#This Row],[Resolution_Date]]="NA","Unresolved","Resolved")</f>
        <v>Unresolved</v>
      </c>
      <c r="K801" t="str">
        <f>IF(Table1[[#This Row],[Resolution_Date]]="NA"," ",Table1[[#This Row],[Resolution_Date]]-Table1[[#This Row],[Complaint_Date]])</f>
        <v xml:space="preserve"> </v>
      </c>
      <c r="L801" t="str">
        <f>TEXT(Table1[[#This Row],[Complaint_Date]],"MMM")</f>
        <v>Nov</v>
      </c>
      <c r="M801" t="str">
        <f>IF(Table1[[#This Row],[Resolution_Time_Hours]]&lt;=24,"Fast",IF(Table1[[#This Row],[Resolution_Time_Hours]]&lt;=72,"Medium","Slow"))</f>
        <v>Medium</v>
      </c>
    </row>
    <row r="802" spans="1:13" x14ac:dyDescent="0.3">
      <c r="A802" t="s">
        <v>1971</v>
      </c>
      <c r="B802" t="s">
        <v>1972</v>
      </c>
      <c r="C802" t="s">
        <v>34</v>
      </c>
      <c r="D802" t="s">
        <v>27</v>
      </c>
      <c r="E802" s="2" t="s">
        <v>360</v>
      </c>
      <c r="F802">
        <v>84</v>
      </c>
      <c r="G802" t="s">
        <v>40</v>
      </c>
      <c r="H802" s="2" t="s">
        <v>2820</v>
      </c>
      <c r="J802" t="str">
        <f>IF(Table1[[#This Row],[Resolution_Date]]="NA","Unresolved","Resolved")</f>
        <v>Unresolved</v>
      </c>
      <c r="K802" t="str">
        <f>IF(Table1[[#This Row],[Resolution_Date]]="NA"," ",Table1[[#This Row],[Resolution_Date]]-Table1[[#This Row],[Complaint_Date]])</f>
        <v xml:space="preserve"> </v>
      </c>
      <c r="L802" t="str">
        <f>TEXT(Table1[[#This Row],[Complaint_Date]],"MMM")</f>
        <v>Oct</v>
      </c>
      <c r="M802" t="str">
        <f>IF(Table1[[#This Row],[Resolution_Time_Hours]]&lt;=24,"Fast",IF(Table1[[#This Row],[Resolution_Time_Hours]]&lt;=72,"Medium","Slow"))</f>
        <v>Slow</v>
      </c>
    </row>
    <row r="803" spans="1:13" x14ac:dyDescent="0.3">
      <c r="A803" t="s">
        <v>1973</v>
      </c>
      <c r="B803" t="s">
        <v>1974</v>
      </c>
      <c r="C803" t="s">
        <v>48</v>
      </c>
      <c r="D803" t="s">
        <v>95</v>
      </c>
      <c r="E803" s="2" t="s">
        <v>1975</v>
      </c>
      <c r="F803">
        <v>39</v>
      </c>
      <c r="G803" t="s">
        <v>20</v>
      </c>
      <c r="H803" s="2" t="s">
        <v>1486</v>
      </c>
      <c r="I803">
        <v>2</v>
      </c>
      <c r="J803" t="str">
        <f>IF(Table1[[#This Row],[Resolution_Date]]="NA","Unresolved","Resolved")</f>
        <v>Resolved</v>
      </c>
      <c r="K803">
        <f>IF(Table1[[#This Row],[Resolution_Date]]="NA"," ",Table1[[#This Row],[Resolution_Date]]-Table1[[#This Row],[Complaint_Date]])</f>
        <v>1</v>
      </c>
      <c r="L803" t="str">
        <f>TEXT(Table1[[#This Row],[Complaint_Date]],"MMM")</f>
        <v>Apr</v>
      </c>
      <c r="M803" t="str">
        <f>IF(Table1[[#This Row],[Resolution_Time_Hours]]&lt;=24,"Fast",IF(Table1[[#This Row],[Resolution_Time_Hours]]&lt;=72,"Medium","Slow"))</f>
        <v>Medium</v>
      </c>
    </row>
    <row r="804" spans="1:13" x14ac:dyDescent="0.3">
      <c r="A804" t="s">
        <v>1976</v>
      </c>
      <c r="B804" t="s">
        <v>1977</v>
      </c>
      <c r="C804" t="s">
        <v>110</v>
      </c>
      <c r="D804" t="s">
        <v>18</v>
      </c>
      <c r="E804" s="2" t="s">
        <v>179</v>
      </c>
      <c r="F804">
        <v>24</v>
      </c>
      <c r="G804" t="s">
        <v>40</v>
      </c>
      <c r="H804" s="2" t="s">
        <v>2820</v>
      </c>
      <c r="J804" t="str">
        <f>IF(Table1[[#This Row],[Resolution_Date]]="NA","Unresolved","Resolved")</f>
        <v>Unresolved</v>
      </c>
      <c r="K804" t="str">
        <f>IF(Table1[[#This Row],[Resolution_Date]]="NA"," ",Table1[[#This Row],[Resolution_Date]]-Table1[[#This Row],[Complaint_Date]])</f>
        <v xml:space="preserve"> </v>
      </c>
      <c r="L804" t="str">
        <f>TEXT(Table1[[#This Row],[Complaint_Date]],"MMM")</f>
        <v>Apr</v>
      </c>
      <c r="M804" t="str">
        <f>IF(Table1[[#This Row],[Resolution_Time_Hours]]&lt;=24,"Fast",IF(Table1[[#This Row],[Resolution_Time_Hours]]&lt;=72,"Medium","Slow"))</f>
        <v>Fast</v>
      </c>
    </row>
    <row r="805" spans="1:13" x14ac:dyDescent="0.3">
      <c r="A805" t="s">
        <v>1978</v>
      </c>
      <c r="B805" t="s">
        <v>1979</v>
      </c>
      <c r="C805" t="s">
        <v>48</v>
      </c>
      <c r="D805" t="s">
        <v>38</v>
      </c>
      <c r="E805" s="2" t="s">
        <v>220</v>
      </c>
      <c r="F805">
        <v>18</v>
      </c>
      <c r="G805" t="s">
        <v>40</v>
      </c>
      <c r="H805" s="2" t="s">
        <v>2820</v>
      </c>
      <c r="J805" t="str">
        <f>IF(Table1[[#This Row],[Resolution_Date]]="NA","Unresolved","Resolved")</f>
        <v>Unresolved</v>
      </c>
      <c r="K805" t="str">
        <f>IF(Table1[[#This Row],[Resolution_Date]]="NA"," ",Table1[[#This Row],[Resolution_Date]]-Table1[[#This Row],[Complaint_Date]])</f>
        <v xml:space="preserve"> </v>
      </c>
      <c r="L805" t="str">
        <f>TEXT(Table1[[#This Row],[Complaint_Date]],"MMM")</f>
        <v>Jul</v>
      </c>
      <c r="M805" t="str">
        <f>IF(Table1[[#This Row],[Resolution_Time_Hours]]&lt;=24,"Fast",IF(Table1[[#This Row],[Resolution_Time_Hours]]&lt;=72,"Medium","Slow"))</f>
        <v>Fast</v>
      </c>
    </row>
    <row r="806" spans="1:13" x14ac:dyDescent="0.3">
      <c r="A806" t="s">
        <v>1980</v>
      </c>
      <c r="B806" t="s">
        <v>1981</v>
      </c>
      <c r="C806" t="s">
        <v>11</v>
      </c>
      <c r="D806" t="s">
        <v>95</v>
      </c>
      <c r="E806" s="2" t="s">
        <v>991</v>
      </c>
      <c r="F806">
        <v>43</v>
      </c>
      <c r="G806" t="s">
        <v>20</v>
      </c>
      <c r="H806" s="2" t="s">
        <v>954</v>
      </c>
      <c r="I806">
        <v>2</v>
      </c>
      <c r="J806" t="str">
        <f>IF(Table1[[#This Row],[Resolution_Date]]="NA","Unresolved","Resolved")</f>
        <v>Resolved</v>
      </c>
      <c r="K806">
        <f>IF(Table1[[#This Row],[Resolution_Date]]="NA"," ",Table1[[#This Row],[Resolution_Date]]-Table1[[#This Row],[Complaint_Date]])</f>
        <v>1</v>
      </c>
      <c r="L806" t="str">
        <f>TEXT(Table1[[#This Row],[Complaint_Date]],"MMM")</f>
        <v>Mar</v>
      </c>
      <c r="M806" t="str">
        <f>IF(Table1[[#This Row],[Resolution_Time_Hours]]&lt;=24,"Fast",IF(Table1[[#This Row],[Resolution_Time_Hours]]&lt;=72,"Medium","Slow"))</f>
        <v>Medium</v>
      </c>
    </row>
    <row r="807" spans="1:13" x14ac:dyDescent="0.3">
      <c r="A807" t="s">
        <v>1982</v>
      </c>
      <c r="B807" t="s">
        <v>1983</v>
      </c>
      <c r="C807" t="s">
        <v>53</v>
      </c>
      <c r="D807" t="s">
        <v>18</v>
      </c>
      <c r="E807" s="2" t="s">
        <v>756</v>
      </c>
      <c r="F807">
        <v>12</v>
      </c>
      <c r="G807" t="s">
        <v>20</v>
      </c>
      <c r="H807" s="2" t="s">
        <v>756</v>
      </c>
      <c r="I807">
        <v>4</v>
      </c>
      <c r="J807" t="str">
        <f>IF(Table1[[#This Row],[Resolution_Date]]="NA","Unresolved","Resolved")</f>
        <v>Resolved</v>
      </c>
      <c r="K807">
        <f>IF(Table1[[#This Row],[Resolution_Date]]="NA"," ",Table1[[#This Row],[Resolution_Date]]-Table1[[#This Row],[Complaint_Date]])</f>
        <v>0</v>
      </c>
      <c r="L807" t="str">
        <f>TEXT(Table1[[#This Row],[Complaint_Date]],"MMM")</f>
        <v>Jul</v>
      </c>
      <c r="M807" t="str">
        <f>IF(Table1[[#This Row],[Resolution_Time_Hours]]&lt;=24,"Fast",IF(Table1[[#This Row],[Resolution_Time_Hours]]&lt;=72,"Medium","Slow"))</f>
        <v>Fast</v>
      </c>
    </row>
    <row r="808" spans="1:13" x14ac:dyDescent="0.3">
      <c r="A808" t="s">
        <v>1984</v>
      </c>
      <c r="B808" t="s">
        <v>1985</v>
      </c>
      <c r="C808" t="s">
        <v>110</v>
      </c>
      <c r="D808" t="s">
        <v>12</v>
      </c>
      <c r="E808" s="2" t="s">
        <v>211</v>
      </c>
      <c r="F808">
        <v>24</v>
      </c>
      <c r="G808" t="s">
        <v>20</v>
      </c>
      <c r="H808" s="2" t="s">
        <v>1419</v>
      </c>
      <c r="I808">
        <v>3</v>
      </c>
      <c r="J808" t="str">
        <f>IF(Table1[[#This Row],[Resolution_Date]]="NA","Unresolved","Resolved")</f>
        <v>Resolved</v>
      </c>
      <c r="K808">
        <f>IF(Table1[[#This Row],[Resolution_Date]]="NA"," ",Table1[[#This Row],[Resolution_Date]]-Table1[[#This Row],[Complaint_Date]])</f>
        <v>1</v>
      </c>
      <c r="L808" t="str">
        <f>TEXT(Table1[[#This Row],[Complaint_Date]],"MMM")</f>
        <v>Dec</v>
      </c>
      <c r="M808" t="str">
        <f>IF(Table1[[#This Row],[Resolution_Time_Hours]]&lt;=24,"Fast",IF(Table1[[#This Row],[Resolution_Time_Hours]]&lt;=72,"Medium","Slow"))</f>
        <v>Fast</v>
      </c>
    </row>
    <row r="809" spans="1:13" x14ac:dyDescent="0.3">
      <c r="A809" t="s">
        <v>1986</v>
      </c>
      <c r="B809" t="s">
        <v>1987</v>
      </c>
      <c r="C809" t="s">
        <v>48</v>
      </c>
      <c r="D809" t="s">
        <v>27</v>
      </c>
      <c r="E809" s="2" t="s">
        <v>492</v>
      </c>
      <c r="F809">
        <v>40</v>
      </c>
      <c r="G809" t="s">
        <v>20</v>
      </c>
      <c r="H809" s="2" t="s">
        <v>493</v>
      </c>
      <c r="I809">
        <v>2</v>
      </c>
      <c r="J809" t="str">
        <f>IF(Table1[[#This Row],[Resolution_Date]]="NA","Unresolved","Resolved")</f>
        <v>Resolved</v>
      </c>
      <c r="K809">
        <f>IF(Table1[[#This Row],[Resolution_Date]]="NA"," ",Table1[[#This Row],[Resolution_Date]]-Table1[[#This Row],[Complaint_Date]])</f>
        <v>1</v>
      </c>
      <c r="L809" t="str">
        <f>TEXT(Table1[[#This Row],[Complaint_Date]],"MMM")</f>
        <v>Oct</v>
      </c>
      <c r="M809" t="str">
        <f>IF(Table1[[#This Row],[Resolution_Time_Hours]]&lt;=24,"Fast",IF(Table1[[#This Row],[Resolution_Time_Hours]]&lt;=72,"Medium","Slow"))</f>
        <v>Medium</v>
      </c>
    </row>
    <row r="810" spans="1:13" x14ac:dyDescent="0.3">
      <c r="A810" t="s">
        <v>1988</v>
      </c>
      <c r="B810" t="s">
        <v>1989</v>
      </c>
      <c r="C810" t="s">
        <v>34</v>
      </c>
      <c r="D810" t="s">
        <v>27</v>
      </c>
      <c r="E810" s="2" t="s">
        <v>883</v>
      </c>
      <c r="F810">
        <v>44</v>
      </c>
      <c r="G810" t="s">
        <v>14</v>
      </c>
      <c r="H810" s="2" t="s">
        <v>2820</v>
      </c>
      <c r="J810" t="str">
        <f>IF(Table1[[#This Row],[Resolution_Date]]="NA","Unresolved","Resolved")</f>
        <v>Unresolved</v>
      </c>
      <c r="K810" t="str">
        <f>IF(Table1[[#This Row],[Resolution_Date]]="NA"," ",Table1[[#This Row],[Resolution_Date]]-Table1[[#This Row],[Complaint_Date]])</f>
        <v xml:space="preserve"> </v>
      </c>
      <c r="L810" t="str">
        <f>TEXT(Table1[[#This Row],[Complaint_Date]],"MMM")</f>
        <v>Jun</v>
      </c>
      <c r="M810" t="str">
        <f>IF(Table1[[#This Row],[Resolution_Time_Hours]]&lt;=24,"Fast",IF(Table1[[#This Row],[Resolution_Time_Hours]]&lt;=72,"Medium","Slow"))</f>
        <v>Medium</v>
      </c>
    </row>
    <row r="811" spans="1:13" x14ac:dyDescent="0.3">
      <c r="A811" t="s">
        <v>1990</v>
      </c>
      <c r="B811" t="s">
        <v>1991</v>
      </c>
      <c r="C811" t="s">
        <v>34</v>
      </c>
      <c r="D811" t="s">
        <v>95</v>
      </c>
      <c r="E811" s="2" t="s">
        <v>420</v>
      </c>
      <c r="F811">
        <v>70</v>
      </c>
      <c r="G811" t="s">
        <v>20</v>
      </c>
      <c r="H811" s="2" t="s">
        <v>954</v>
      </c>
      <c r="I811">
        <v>5</v>
      </c>
      <c r="J811" t="str">
        <f>IF(Table1[[#This Row],[Resolution_Date]]="NA","Unresolved","Resolved")</f>
        <v>Resolved</v>
      </c>
      <c r="K811">
        <f>IF(Table1[[#This Row],[Resolution_Date]]="NA"," ",Table1[[#This Row],[Resolution_Date]]-Table1[[#This Row],[Complaint_Date]])</f>
        <v>2</v>
      </c>
      <c r="L811" t="str">
        <f>TEXT(Table1[[#This Row],[Complaint_Date]],"MMM")</f>
        <v>Mar</v>
      </c>
      <c r="M811" t="str">
        <f>IF(Table1[[#This Row],[Resolution_Time_Hours]]&lt;=24,"Fast",IF(Table1[[#This Row],[Resolution_Time_Hours]]&lt;=72,"Medium","Slow"))</f>
        <v>Medium</v>
      </c>
    </row>
    <row r="812" spans="1:13" x14ac:dyDescent="0.3">
      <c r="A812" t="s">
        <v>1992</v>
      </c>
      <c r="B812" t="s">
        <v>1993</v>
      </c>
      <c r="C812" t="s">
        <v>53</v>
      </c>
      <c r="D812" t="s">
        <v>27</v>
      </c>
      <c r="E812" s="2" t="s">
        <v>413</v>
      </c>
      <c r="F812">
        <v>10</v>
      </c>
      <c r="G812" t="s">
        <v>20</v>
      </c>
      <c r="H812" s="2" t="s">
        <v>413</v>
      </c>
      <c r="I812">
        <v>4</v>
      </c>
      <c r="J812" t="str">
        <f>IF(Table1[[#This Row],[Resolution_Date]]="NA","Unresolved","Resolved")</f>
        <v>Resolved</v>
      </c>
      <c r="K812">
        <f>IF(Table1[[#This Row],[Resolution_Date]]="NA"," ",Table1[[#This Row],[Resolution_Date]]-Table1[[#This Row],[Complaint_Date]])</f>
        <v>0</v>
      </c>
      <c r="L812" t="str">
        <f>TEXT(Table1[[#This Row],[Complaint_Date]],"MMM")</f>
        <v>Jun</v>
      </c>
      <c r="M812" t="str">
        <f>IF(Table1[[#This Row],[Resolution_Time_Hours]]&lt;=24,"Fast",IF(Table1[[#This Row],[Resolution_Time_Hours]]&lt;=72,"Medium","Slow"))</f>
        <v>Fast</v>
      </c>
    </row>
    <row r="813" spans="1:13" x14ac:dyDescent="0.3">
      <c r="A813" t="s">
        <v>1994</v>
      </c>
      <c r="B813" t="s">
        <v>1995</v>
      </c>
      <c r="C813" t="s">
        <v>110</v>
      </c>
      <c r="D813" t="s">
        <v>95</v>
      </c>
      <c r="E813" s="2" t="s">
        <v>50</v>
      </c>
      <c r="F813">
        <v>13</v>
      </c>
      <c r="G813" t="s">
        <v>20</v>
      </c>
      <c r="H813" s="2" t="s">
        <v>50</v>
      </c>
      <c r="I813">
        <v>3</v>
      </c>
      <c r="J813" t="str">
        <f>IF(Table1[[#This Row],[Resolution_Date]]="NA","Unresolved","Resolved")</f>
        <v>Resolved</v>
      </c>
      <c r="K813">
        <f>IF(Table1[[#This Row],[Resolution_Date]]="NA"," ",Table1[[#This Row],[Resolution_Date]]-Table1[[#This Row],[Complaint_Date]])</f>
        <v>0</v>
      </c>
      <c r="L813" t="str">
        <f>TEXT(Table1[[#This Row],[Complaint_Date]],"MMM")</f>
        <v>Jul</v>
      </c>
      <c r="M813" t="str">
        <f>IF(Table1[[#This Row],[Resolution_Time_Hours]]&lt;=24,"Fast",IF(Table1[[#This Row],[Resolution_Time_Hours]]&lt;=72,"Medium","Slow"))</f>
        <v>Fast</v>
      </c>
    </row>
    <row r="814" spans="1:13" x14ac:dyDescent="0.3">
      <c r="A814" t="s">
        <v>1996</v>
      </c>
      <c r="B814" t="s">
        <v>1997</v>
      </c>
      <c r="C814" t="s">
        <v>48</v>
      </c>
      <c r="D814" t="s">
        <v>12</v>
      </c>
      <c r="E814" s="2" t="s">
        <v>1496</v>
      </c>
      <c r="F814">
        <v>49</v>
      </c>
      <c r="G814" t="s">
        <v>40</v>
      </c>
      <c r="H814" s="2" t="s">
        <v>2820</v>
      </c>
      <c r="J814" t="str">
        <f>IF(Table1[[#This Row],[Resolution_Date]]="NA","Unresolved","Resolved")</f>
        <v>Unresolved</v>
      </c>
      <c r="K814" t="str">
        <f>IF(Table1[[#This Row],[Resolution_Date]]="NA"," ",Table1[[#This Row],[Resolution_Date]]-Table1[[#This Row],[Complaint_Date]])</f>
        <v xml:space="preserve"> </v>
      </c>
      <c r="L814" t="str">
        <f>TEXT(Table1[[#This Row],[Complaint_Date]],"MMM")</f>
        <v>Apr</v>
      </c>
      <c r="M814" t="str">
        <f>IF(Table1[[#This Row],[Resolution_Time_Hours]]&lt;=24,"Fast",IF(Table1[[#This Row],[Resolution_Time_Hours]]&lt;=72,"Medium","Slow"))</f>
        <v>Medium</v>
      </c>
    </row>
    <row r="815" spans="1:13" x14ac:dyDescent="0.3">
      <c r="A815" t="s">
        <v>1998</v>
      </c>
      <c r="B815" t="s">
        <v>1999</v>
      </c>
      <c r="C815" t="s">
        <v>11</v>
      </c>
      <c r="D815" t="s">
        <v>27</v>
      </c>
      <c r="E815" s="2" t="s">
        <v>2000</v>
      </c>
      <c r="F815">
        <v>9</v>
      </c>
      <c r="G815" t="s">
        <v>14</v>
      </c>
      <c r="H815" s="2" t="s">
        <v>2820</v>
      </c>
      <c r="J815" t="str">
        <f>IF(Table1[[#This Row],[Resolution_Date]]="NA","Unresolved","Resolved")</f>
        <v>Unresolved</v>
      </c>
      <c r="K815" t="str">
        <f>IF(Table1[[#This Row],[Resolution_Date]]="NA"," ",Table1[[#This Row],[Resolution_Date]]-Table1[[#This Row],[Complaint_Date]])</f>
        <v xml:space="preserve"> </v>
      </c>
      <c r="L815" t="str">
        <f>TEXT(Table1[[#This Row],[Complaint_Date]],"MMM")</f>
        <v>Jun</v>
      </c>
      <c r="M815" t="str">
        <f>IF(Table1[[#This Row],[Resolution_Time_Hours]]&lt;=24,"Fast",IF(Table1[[#This Row],[Resolution_Time_Hours]]&lt;=72,"Medium","Slow"))</f>
        <v>Fast</v>
      </c>
    </row>
    <row r="816" spans="1:13" x14ac:dyDescent="0.3">
      <c r="A816" t="s">
        <v>2001</v>
      </c>
      <c r="B816" t="s">
        <v>2002</v>
      </c>
      <c r="C816" t="s">
        <v>34</v>
      </c>
      <c r="D816" t="s">
        <v>12</v>
      </c>
      <c r="E816" s="2" t="s">
        <v>687</v>
      </c>
      <c r="F816">
        <v>80</v>
      </c>
      <c r="G816" t="s">
        <v>20</v>
      </c>
      <c r="H816" s="2" t="s">
        <v>535</v>
      </c>
      <c r="I816">
        <v>1</v>
      </c>
      <c r="J816" t="str">
        <f>IF(Table1[[#This Row],[Resolution_Date]]="NA","Unresolved","Resolved")</f>
        <v>Resolved</v>
      </c>
      <c r="K816">
        <f>IF(Table1[[#This Row],[Resolution_Date]]="NA"," ",Table1[[#This Row],[Resolution_Date]]-Table1[[#This Row],[Complaint_Date]])</f>
        <v>3</v>
      </c>
      <c r="L816" t="str">
        <f>TEXT(Table1[[#This Row],[Complaint_Date]],"MMM")</f>
        <v>Nov</v>
      </c>
      <c r="M816" t="str">
        <f>IF(Table1[[#This Row],[Resolution_Time_Hours]]&lt;=24,"Fast",IF(Table1[[#This Row],[Resolution_Time_Hours]]&lt;=72,"Medium","Slow"))</f>
        <v>Slow</v>
      </c>
    </row>
    <row r="817" spans="1:13" x14ac:dyDescent="0.3">
      <c r="A817" t="s">
        <v>2003</v>
      </c>
      <c r="B817" t="s">
        <v>2004</v>
      </c>
      <c r="C817" t="s">
        <v>11</v>
      </c>
      <c r="D817" t="s">
        <v>95</v>
      </c>
      <c r="E817" s="2" t="s">
        <v>2005</v>
      </c>
      <c r="F817">
        <v>16</v>
      </c>
      <c r="G817" t="s">
        <v>14</v>
      </c>
      <c r="H817" s="2" t="s">
        <v>2820</v>
      </c>
      <c r="J817" t="str">
        <f>IF(Table1[[#This Row],[Resolution_Date]]="NA","Unresolved","Resolved")</f>
        <v>Unresolved</v>
      </c>
      <c r="K817" t="str">
        <f>IF(Table1[[#This Row],[Resolution_Date]]="NA"," ",Table1[[#This Row],[Resolution_Date]]-Table1[[#This Row],[Complaint_Date]])</f>
        <v xml:space="preserve"> </v>
      </c>
      <c r="L817" t="str">
        <f>TEXT(Table1[[#This Row],[Complaint_Date]],"MMM")</f>
        <v>May</v>
      </c>
      <c r="M817" t="str">
        <f>IF(Table1[[#This Row],[Resolution_Time_Hours]]&lt;=24,"Fast",IF(Table1[[#This Row],[Resolution_Time_Hours]]&lt;=72,"Medium","Slow"))</f>
        <v>Fast</v>
      </c>
    </row>
    <row r="818" spans="1:13" x14ac:dyDescent="0.3">
      <c r="A818" t="s">
        <v>2006</v>
      </c>
      <c r="B818" t="s">
        <v>2007</v>
      </c>
      <c r="C818" t="s">
        <v>43</v>
      </c>
      <c r="D818" t="s">
        <v>18</v>
      </c>
      <c r="E818" s="2" t="s">
        <v>767</v>
      </c>
      <c r="F818">
        <v>28</v>
      </c>
      <c r="G818" t="s">
        <v>20</v>
      </c>
      <c r="H818" s="2" t="s">
        <v>492</v>
      </c>
      <c r="I818">
        <v>2</v>
      </c>
      <c r="J818" t="str">
        <f>IF(Table1[[#This Row],[Resolution_Date]]="NA","Unresolved","Resolved")</f>
        <v>Resolved</v>
      </c>
      <c r="K818">
        <f>IF(Table1[[#This Row],[Resolution_Date]]="NA"," ",Table1[[#This Row],[Resolution_Date]]-Table1[[#This Row],[Complaint_Date]])</f>
        <v>1</v>
      </c>
      <c r="L818" t="str">
        <f>TEXT(Table1[[#This Row],[Complaint_Date]],"MMM")</f>
        <v>Oct</v>
      </c>
      <c r="M818" t="str">
        <f>IF(Table1[[#This Row],[Resolution_Time_Hours]]&lt;=24,"Fast",IF(Table1[[#This Row],[Resolution_Time_Hours]]&lt;=72,"Medium","Slow"))</f>
        <v>Medium</v>
      </c>
    </row>
    <row r="819" spans="1:13" x14ac:dyDescent="0.3">
      <c r="A819" t="s">
        <v>2008</v>
      </c>
      <c r="B819" t="s">
        <v>2009</v>
      </c>
      <c r="C819" t="s">
        <v>17</v>
      </c>
      <c r="D819" t="s">
        <v>95</v>
      </c>
      <c r="E819" s="2" t="s">
        <v>1240</v>
      </c>
      <c r="F819">
        <v>19</v>
      </c>
      <c r="G819" t="s">
        <v>20</v>
      </c>
      <c r="H819" s="2" t="s">
        <v>1240</v>
      </c>
      <c r="I819">
        <v>5</v>
      </c>
      <c r="J819" t="str">
        <f>IF(Table1[[#This Row],[Resolution_Date]]="NA","Unresolved","Resolved")</f>
        <v>Resolved</v>
      </c>
      <c r="K819">
        <f>IF(Table1[[#This Row],[Resolution_Date]]="NA"," ",Table1[[#This Row],[Resolution_Date]]-Table1[[#This Row],[Complaint_Date]])</f>
        <v>0</v>
      </c>
      <c r="L819" t="str">
        <f>TEXT(Table1[[#This Row],[Complaint_Date]],"MMM")</f>
        <v>Jan</v>
      </c>
      <c r="M819" t="str">
        <f>IF(Table1[[#This Row],[Resolution_Time_Hours]]&lt;=24,"Fast",IF(Table1[[#This Row],[Resolution_Time_Hours]]&lt;=72,"Medium","Slow"))</f>
        <v>Fast</v>
      </c>
    </row>
    <row r="820" spans="1:13" x14ac:dyDescent="0.3">
      <c r="A820" t="s">
        <v>2010</v>
      </c>
      <c r="B820" t="s">
        <v>2011</v>
      </c>
      <c r="C820" t="s">
        <v>11</v>
      </c>
      <c r="D820" t="s">
        <v>38</v>
      </c>
      <c r="E820" s="2" t="s">
        <v>270</v>
      </c>
      <c r="F820">
        <v>8</v>
      </c>
      <c r="G820" t="s">
        <v>20</v>
      </c>
      <c r="H820" s="2" t="s">
        <v>270</v>
      </c>
      <c r="I820">
        <v>4</v>
      </c>
      <c r="J820" t="str">
        <f>IF(Table1[[#This Row],[Resolution_Date]]="NA","Unresolved","Resolved")</f>
        <v>Resolved</v>
      </c>
      <c r="K820">
        <f>IF(Table1[[#This Row],[Resolution_Date]]="NA"," ",Table1[[#This Row],[Resolution_Date]]-Table1[[#This Row],[Complaint_Date]])</f>
        <v>0</v>
      </c>
      <c r="L820" t="str">
        <f>TEXT(Table1[[#This Row],[Complaint_Date]],"MMM")</f>
        <v>Apr</v>
      </c>
      <c r="M820" t="str">
        <f>IF(Table1[[#This Row],[Resolution_Time_Hours]]&lt;=24,"Fast",IF(Table1[[#This Row],[Resolution_Time_Hours]]&lt;=72,"Medium","Slow"))</f>
        <v>Fast</v>
      </c>
    </row>
    <row r="821" spans="1:13" x14ac:dyDescent="0.3">
      <c r="A821" t="s">
        <v>2012</v>
      </c>
      <c r="B821" t="s">
        <v>2013</v>
      </c>
      <c r="C821" t="s">
        <v>11</v>
      </c>
      <c r="D821" t="s">
        <v>27</v>
      </c>
      <c r="E821" s="2" t="s">
        <v>766</v>
      </c>
      <c r="F821">
        <v>12</v>
      </c>
      <c r="G821" t="s">
        <v>20</v>
      </c>
      <c r="H821" s="2" t="s">
        <v>766</v>
      </c>
      <c r="I821">
        <v>4</v>
      </c>
      <c r="J821" t="str">
        <f>IF(Table1[[#This Row],[Resolution_Date]]="NA","Unresolved","Resolved")</f>
        <v>Resolved</v>
      </c>
      <c r="K821">
        <f>IF(Table1[[#This Row],[Resolution_Date]]="NA"," ",Table1[[#This Row],[Resolution_Date]]-Table1[[#This Row],[Complaint_Date]])</f>
        <v>0</v>
      </c>
      <c r="L821" t="str">
        <f>TEXT(Table1[[#This Row],[Complaint_Date]],"MMM")</f>
        <v>Oct</v>
      </c>
      <c r="M821" t="str">
        <f>IF(Table1[[#This Row],[Resolution_Time_Hours]]&lt;=24,"Fast",IF(Table1[[#This Row],[Resolution_Time_Hours]]&lt;=72,"Medium","Slow"))</f>
        <v>Fast</v>
      </c>
    </row>
    <row r="822" spans="1:13" x14ac:dyDescent="0.3">
      <c r="A822" t="s">
        <v>2014</v>
      </c>
      <c r="B822" t="s">
        <v>2015</v>
      </c>
      <c r="C822" t="s">
        <v>110</v>
      </c>
      <c r="D822" t="s">
        <v>38</v>
      </c>
      <c r="E822" s="2" t="s">
        <v>577</v>
      </c>
      <c r="F822">
        <v>9</v>
      </c>
      <c r="G822" t="s">
        <v>20</v>
      </c>
      <c r="H822" s="2" t="s">
        <v>577</v>
      </c>
      <c r="I822">
        <v>4</v>
      </c>
      <c r="J822" t="str">
        <f>IF(Table1[[#This Row],[Resolution_Date]]="NA","Unresolved","Resolved")</f>
        <v>Resolved</v>
      </c>
      <c r="K822">
        <f>IF(Table1[[#This Row],[Resolution_Date]]="NA"," ",Table1[[#This Row],[Resolution_Date]]-Table1[[#This Row],[Complaint_Date]])</f>
        <v>0</v>
      </c>
      <c r="L822" t="str">
        <f>TEXT(Table1[[#This Row],[Complaint_Date]],"MMM")</f>
        <v>Aug</v>
      </c>
      <c r="M822" t="str">
        <f>IF(Table1[[#This Row],[Resolution_Time_Hours]]&lt;=24,"Fast",IF(Table1[[#This Row],[Resolution_Time_Hours]]&lt;=72,"Medium","Slow"))</f>
        <v>Fast</v>
      </c>
    </row>
    <row r="823" spans="1:13" x14ac:dyDescent="0.3">
      <c r="A823" t="s">
        <v>2016</v>
      </c>
      <c r="B823" t="s">
        <v>2017</v>
      </c>
      <c r="C823" t="s">
        <v>11</v>
      </c>
      <c r="D823" t="s">
        <v>18</v>
      </c>
      <c r="E823" s="2" t="s">
        <v>770</v>
      </c>
      <c r="F823">
        <v>15</v>
      </c>
      <c r="G823" t="s">
        <v>20</v>
      </c>
      <c r="H823" s="2" t="s">
        <v>770</v>
      </c>
      <c r="I823">
        <v>3</v>
      </c>
      <c r="J823" t="str">
        <f>IF(Table1[[#This Row],[Resolution_Date]]="NA","Unresolved","Resolved")</f>
        <v>Resolved</v>
      </c>
      <c r="K823">
        <f>IF(Table1[[#This Row],[Resolution_Date]]="NA"," ",Table1[[#This Row],[Resolution_Date]]-Table1[[#This Row],[Complaint_Date]])</f>
        <v>0</v>
      </c>
      <c r="L823" t="str">
        <f>TEXT(Table1[[#This Row],[Complaint_Date]],"MMM")</f>
        <v>Jan</v>
      </c>
      <c r="M823" t="str">
        <f>IF(Table1[[#This Row],[Resolution_Time_Hours]]&lt;=24,"Fast",IF(Table1[[#This Row],[Resolution_Time_Hours]]&lt;=72,"Medium","Slow"))</f>
        <v>Fast</v>
      </c>
    </row>
    <row r="824" spans="1:13" x14ac:dyDescent="0.3">
      <c r="A824" t="s">
        <v>2018</v>
      </c>
      <c r="B824" t="s">
        <v>2019</v>
      </c>
      <c r="C824" t="s">
        <v>17</v>
      </c>
      <c r="D824" t="s">
        <v>38</v>
      </c>
      <c r="E824" s="2" t="s">
        <v>329</v>
      </c>
      <c r="F824">
        <v>30</v>
      </c>
      <c r="G824" t="s">
        <v>20</v>
      </c>
      <c r="H824" s="2" t="s">
        <v>330</v>
      </c>
      <c r="I824">
        <v>2</v>
      </c>
      <c r="J824" t="str">
        <f>IF(Table1[[#This Row],[Resolution_Date]]="NA","Unresolved","Resolved")</f>
        <v>Resolved</v>
      </c>
      <c r="K824">
        <f>IF(Table1[[#This Row],[Resolution_Date]]="NA"," ",Table1[[#This Row],[Resolution_Date]]-Table1[[#This Row],[Complaint_Date]])</f>
        <v>1</v>
      </c>
      <c r="L824" t="str">
        <f>TEXT(Table1[[#This Row],[Complaint_Date]],"MMM")</f>
        <v>Nov</v>
      </c>
      <c r="M824" t="str">
        <f>IF(Table1[[#This Row],[Resolution_Time_Hours]]&lt;=24,"Fast",IF(Table1[[#This Row],[Resolution_Time_Hours]]&lt;=72,"Medium","Slow"))</f>
        <v>Medium</v>
      </c>
    </row>
    <row r="825" spans="1:13" x14ac:dyDescent="0.3">
      <c r="A825" t="s">
        <v>2020</v>
      </c>
      <c r="B825" t="s">
        <v>2021</v>
      </c>
      <c r="C825" t="s">
        <v>48</v>
      </c>
      <c r="D825" t="s">
        <v>95</v>
      </c>
      <c r="E825" s="2" t="s">
        <v>1159</v>
      </c>
      <c r="F825">
        <v>56</v>
      </c>
      <c r="G825" t="s">
        <v>40</v>
      </c>
      <c r="H825" s="2" t="s">
        <v>2820</v>
      </c>
      <c r="J825" t="str">
        <f>IF(Table1[[#This Row],[Resolution_Date]]="NA","Unresolved","Resolved")</f>
        <v>Unresolved</v>
      </c>
      <c r="K825" t="str">
        <f>IF(Table1[[#This Row],[Resolution_Date]]="NA"," ",Table1[[#This Row],[Resolution_Date]]-Table1[[#This Row],[Complaint_Date]])</f>
        <v xml:space="preserve"> </v>
      </c>
      <c r="L825" t="str">
        <f>TEXT(Table1[[#This Row],[Complaint_Date]],"MMM")</f>
        <v>Nov</v>
      </c>
      <c r="M825" t="str">
        <f>IF(Table1[[#This Row],[Resolution_Time_Hours]]&lt;=24,"Fast",IF(Table1[[#This Row],[Resolution_Time_Hours]]&lt;=72,"Medium","Slow"))</f>
        <v>Medium</v>
      </c>
    </row>
    <row r="826" spans="1:13" x14ac:dyDescent="0.3">
      <c r="A826" t="s">
        <v>2022</v>
      </c>
      <c r="B826" t="s">
        <v>2023</v>
      </c>
      <c r="C826" t="s">
        <v>53</v>
      </c>
      <c r="D826" t="s">
        <v>12</v>
      </c>
      <c r="E826" s="2" t="s">
        <v>738</v>
      </c>
      <c r="F826">
        <v>7</v>
      </c>
      <c r="G826" t="s">
        <v>20</v>
      </c>
      <c r="H826" s="2" t="s">
        <v>738</v>
      </c>
      <c r="I826">
        <v>4</v>
      </c>
      <c r="J826" t="str">
        <f>IF(Table1[[#This Row],[Resolution_Date]]="NA","Unresolved","Resolved")</f>
        <v>Resolved</v>
      </c>
      <c r="K826">
        <f>IF(Table1[[#This Row],[Resolution_Date]]="NA"," ",Table1[[#This Row],[Resolution_Date]]-Table1[[#This Row],[Complaint_Date]])</f>
        <v>0</v>
      </c>
      <c r="L826" t="str">
        <f>TEXT(Table1[[#This Row],[Complaint_Date]],"MMM")</f>
        <v>Feb</v>
      </c>
      <c r="M826" t="str">
        <f>IF(Table1[[#This Row],[Resolution_Time_Hours]]&lt;=24,"Fast",IF(Table1[[#This Row],[Resolution_Time_Hours]]&lt;=72,"Medium","Slow"))</f>
        <v>Fast</v>
      </c>
    </row>
    <row r="827" spans="1:13" x14ac:dyDescent="0.3">
      <c r="A827" t="s">
        <v>2024</v>
      </c>
      <c r="B827" t="s">
        <v>2025</v>
      </c>
      <c r="C827" t="s">
        <v>48</v>
      </c>
      <c r="D827" t="s">
        <v>95</v>
      </c>
      <c r="E827" s="2" t="s">
        <v>514</v>
      </c>
      <c r="F827">
        <v>10</v>
      </c>
      <c r="G827" t="s">
        <v>20</v>
      </c>
      <c r="H827" s="2" t="s">
        <v>514</v>
      </c>
      <c r="I827">
        <v>4</v>
      </c>
      <c r="J827" t="str">
        <f>IF(Table1[[#This Row],[Resolution_Date]]="NA","Unresolved","Resolved")</f>
        <v>Resolved</v>
      </c>
      <c r="K827">
        <f>IF(Table1[[#This Row],[Resolution_Date]]="NA"," ",Table1[[#This Row],[Resolution_Date]]-Table1[[#This Row],[Complaint_Date]])</f>
        <v>0</v>
      </c>
      <c r="L827" t="str">
        <f>TEXT(Table1[[#This Row],[Complaint_Date]],"MMM")</f>
        <v>Jan</v>
      </c>
      <c r="M827" t="str">
        <f>IF(Table1[[#This Row],[Resolution_Time_Hours]]&lt;=24,"Fast",IF(Table1[[#This Row],[Resolution_Time_Hours]]&lt;=72,"Medium","Slow"))</f>
        <v>Fast</v>
      </c>
    </row>
    <row r="828" spans="1:13" x14ac:dyDescent="0.3">
      <c r="A828" t="s">
        <v>2026</v>
      </c>
      <c r="B828" t="s">
        <v>2027</v>
      </c>
      <c r="C828" t="s">
        <v>43</v>
      </c>
      <c r="D828" t="s">
        <v>38</v>
      </c>
      <c r="E828" s="2" t="s">
        <v>292</v>
      </c>
      <c r="F828">
        <v>68</v>
      </c>
      <c r="G828" t="s">
        <v>20</v>
      </c>
      <c r="H828" s="2" t="s">
        <v>437</v>
      </c>
      <c r="I828">
        <v>5</v>
      </c>
      <c r="J828" t="str">
        <f>IF(Table1[[#This Row],[Resolution_Date]]="NA","Unresolved","Resolved")</f>
        <v>Resolved</v>
      </c>
      <c r="K828">
        <f>IF(Table1[[#This Row],[Resolution_Date]]="NA"," ",Table1[[#This Row],[Resolution_Date]]-Table1[[#This Row],[Complaint_Date]])</f>
        <v>2</v>
      </c>
      <c r="L828" t="str">
        <f>TEXT(Table1[[#This Row],[Complaint_Date]],"MMM")</f>
        <v>Oct</v>
      </c>
      <c r="M828" t="str">
        <f>IF(Table1[[#This Row],[Resolution_Time_Hours]]&lt;=24,"Fast",IF(Table1[[#This Row],[Resolution_Time_Hours]]&lt;=72,"Medium","Slow"))</f>
        <v>Medium</v>
      </c>
    </row>
    <row r="829" spans="1:13" x14ac:dyDescent="0.3">
      <c r="A829" t="s">
        <v>2028</v>
      </c>
      <c r="B829" t="s">
        <v>2029</v>
      </c>
      <c r="C829" t="s">
        <v>110</v>
      </c>
      <c r="D829" t="s">
        <v>38</v>
      </c>
      <c r="E829" s="2" t="s">
        <v>944</v>
      </c>
      <c r="F829">
        <v>23</v>
      </c>
      <c r="G829" t="s">
        <v>20</v>
      </c>
      <c r="H829" s="2" t="s">
        <v>944</v>
      </c>
      <c r="I829">
        <v>5</v>
      </c>
      <c r="J829" t="str">
        <f>IF(Table1[[#This Row],[Resolution_Date]]="NA","Unresolved","Resolved")</f>
        <v>Resolved</v>
      </c>
      <c r="K829">
        <f>IF(Table1[[#This Row],[Resolution_Date]]="NA"," ",Table1[[#This Row],[Resolution_Date]]-Table1[[#This Row],[Complaint_Date]])</f>
        <v>0</v>
      </c>
      <c r="L829" t="str">
        <f>TEXT(Table1[[#This Row],[Complaint_Date]],"MMM")</f>
        <v>May</v>
      </c>
      <c r="M829" t="str">
        <f>IF(Table1[[#This Row],[Resolution_Time_Hours]]&lt;=24,"Fast",IF(Table1[[#This Row],[Resolution_Time_Hours]]&lt;=72,"Medium","Slow"))</f>
        <v>Fast</v>
      </c>
    </row>
    <row r="830" spans="1:13" x14ac:dyDescent="0.3">
      <c r="A830" t="s">
        <v>2030</v>
      </c>
      <c r="B830" t="s">
        <v>2031</v>
      </c>
      <c r="C830" t="s">
        <v>43</v>
      </c>
      <c r="D830" t="s">
        <v>12</v>
      </c>
      <c r="E830" s="2" t="s">
        <v>608</v>
      </c>
      <c r="F830">
        <v>40</v>
      </c>
      <c r="G830" t="s">
        <v>14</v>
      </c>
      <c r="H830" s="2" t="s">
        <v>2820</v>
      </c>
      <c r="J830" t="str">
        <f>IF(Table1[[#This Row],[Resolution_Date]]="NA","Unresolved","Resolved")</f>
        <v>Unresolved</v>
      </c>
      <c r="K830" t="str">
        <f>IF(Table1[[#This Row],[Resolution_Date]]="NA"," ",Table1[[#This Row],[Resolution_Date]]-Table1[[#This Row],[Complaint_Date]])</f>
        <v xml:space="preserve"> </v>
      </c>
      <c r="L830" t="str">
        <f>TEXT(Table1[[#This Row],[Complaint_Date]],"MMM")</f>
        <v>Aug</v>
      </c>
      <c r="M830" t="str">
        <f>IF(Table1[[#This Row],[Resolution_Time_Hours]]&lt;=24,"Fast",IF(Table1[[#This Row],[Resolution_Time_Hours]]&lt;=72,"Medium","Slow"))</f>
        <v>Medium</v>
      </c>
    </row>
    <row r="831" spans="1:13" x14ac:dyDescent="0.3">
      <c r="A831" t="s">
        <v>2032</v>
      </c>
      <c r="B831" t="s">
        <v>2033</v>
      </c>
      <c r="C831" t="s">
        <v>110</v>
      </c>
      <c r="D831" t="s">
        <v>27</v>
      </c>
      <c r="E831" s="2" t="s">
        <v>1576</v>
      </c>
      <c r="F831">
        <v>9</v>
      </c>
      <c r="G831" t="s">
        <v>20</v>
      </c>
      <c r="H831" s="2" t="s">
        <v>1576</v>
      </c>
      <c r="I831">
        <v>4</v>
      </c>
      <c r="J831" t="str">
        <f>IF(Table1[[#This Row],[Resolution_Date]]="NA","Unresolved","Resolved")</f>
        <v>Resolved</v>
      </c>
      <c r="K831">
        <f>IF(Table1[[#This Row],[Resolution_Date]]="NA"," ",Table1[[#This Row],[Resolution_Date]]-Table1[[#This Row],[Complaint_Date]])</f>
        <v>0</v>
      </c>
      <c r="L831" t="str">
        <f>TEXT(Table1[[#This Row],[Complaint_Date]],"MMM")</f>
        <v>Mar</v>
      </c>
      <c r="M831" t="str">
        <f>IF(Table1[[#This Row],[Resolution_Time_Hours]]&lt;=24,"Fast",IF(Table1[[#This Row],[Resolution_Time_Hours]]&lt;=72,"Medium","Slow"))</f>
        <v>Fast</v>
      </c>
    </row>
    <row r="832" spans="1:13" x14ac:dyDescent="0.3">
      <c r="A832" t="s">
        <v>2034</v>
      </c>
      <c r="B832" t="s">
        <v>2035</v>
      </c>
      <c r="C832" t="s">
        <v>48</v>
      </c>
      <c r="D832" t="s">
        <v>38</v>
      </c>
      <c r="E832" s="2" t="s">
        <v>389</v>
      </c>
      <c r="F832">
        <v>15</v>
      </c>
      <c r="G832" t="s">
        <v>20</v>
      </c>
      <c r="H832" s="2" t="s">
        <v>389</v>
      </c>
      <c r="I832">
        <v>3</v>
      </c>
      <c r="J832" t="str">
        <f>IF(Table1[[#This Row],[Resolution_Date]]="NA","Unresolved","Resolved")</f>
        <v>Resolved</v>
      </c>
      <c r="K832">
        <f>IF(Table1[[#This Row],[Resolution_Date]]="NA"," ",Table1[[#This Row],[Resolution_Date]]-Table1[[#This Row],[Complaint_Date]])</f>
        <v>0</v>
      </c>
      <c r="L832" t="str">
        <f>TEXT(Table1[[#This Row],[Complaint_Date]],"MMM")</f>
        <v>Feb</v>
      </c>
      <c r="M832" t="str">
        <f>IF(Table1[[#This Row],[Resolution_Time_Hours]]&lt;=24,"Fast",IF(Table1[[#This Row],[Resolution_Time_Hours]]&lt;=72,"Medium","Slow"))</f>
        <v>Fast</v>
      </c>
    </row>
    <row r="833" spans="1:13" x14ac:dyDescent="0.3">
      <c r="A833" t="s">
        <v>2036</v>
      </c>
      <c r="B833" t="s">
        <v>2037</v>
      </c>
      <c r="C833" t="s">
        <v>34</v>
      </c>
      <c r="D833" t="s">
        <v>18</v>
      </c>
      <c r="E833" s="2" t="s">
        <v>1109</v>
      </c>
      <c r="F833">
        <v>65</v>
      </c>
      <c r="G833" t="s">
        <v>20</v>
      </c>
      <c r="H833" s="2" t="s">
        <v>342</v>
      </c>
      <c r="I833">
        <v>1</v>
      </c>
      <c r="J833" t="str">
        <f>IF(Table1[[#This Row],[Resolution_Date]]="NA","Unresolved","Resolved")</f>
        <v>Resolved</v>
      </c>
      <c r="K833">
        <f>IF(Table1[[#This Row],[Resolution_Date]]="NA"," ",Table1[[#This Row],[Resolution_Date]]-Table1[[#This Row],[Complaint_Date]])</f>
        <v>2</v>
      </c>
      <c r="L833" t="str">
        <f>TEXT(Table1[[#This Row],[Complaint_Date]],"MMM")</f>
        <v>Sep</v>
      </c>
      <c r="M833" t="str">
        <f>IF(Table1[[#This Row],[Resolution_Time_Hours]]&lt;=24,"Fast",IF(Table1[[#This Row],[Resolution_Time_Hours]]&lt;=72,"Medium","Slow"))</f>
        <v>Medium</v>
      </c>
    </row>
    <row r="834" spans="1:13" x14ac:dyDescent="0.3">
      <c r="A834" t="s">
        <v>2038</v>
      </c>
      <c r="B834" t="s">
        <v>2039</v>
      </c>
      <c r="C834" t="s">
        <v>70</v>
      </c>
      <c r="D834" t="s">
        <v>38</v>
      </c>
      <c r="E834" s="2" t="s">
        <v>1419</v>
      </c>
      <c r="F834">
        <v>6</v>
      </c>
      <c r="G834" t="s">
        <v>20</v>
      </c>
      <c r="H834" s="2" t="s">
        <v>1419</v>
      </c>
      <c r="I834">
        <v>5</v>
      </c>
      <c r="J834" t="str">
        <f>IF(Table1[[#This Row],[Resolution_Date]]="NA","Unresolved","Resolved")</f>
        <v>Resolved</v>
      </c>
      <c r="K834">
        <f>IF(Table1[[#This Row],[Resolution_Date]]="NA"," ",Table1[[#This Row],[Resolution_Date]]-Table1[[#This Row],[Complaint_Date]])</f>
        <v>0</v>
      </c>
      <c r="L834" t="str">
        <f>TEXT(Table1[[#This Row],[Complaint_Date]],"MMM")</f>
        <v>Dec</v>
      </c>
      <c r="M834" t="str">
        <f>IF(Table1[[#This Row],[Resolution_Time_Hours]]&lt;=24,"Fast",IF(Table1[[#This Row],[Resolution_Time_Hours]]&lt;=72,"Medium","Slow"))</f>
        <v>Fast</v>
      </c>
    </row>
    <row r="835" spans="1:13" x14ac:dyDescent="0.3">
      <c r="A835" t="s">
        <v>2040</v>
      </c>
      <c r="B835" t="s">
        <v>2041</v>
      </c>
      <c r="C835" t="s">
        <v>48</v>
      </c>
      <c r="D835" t="s">
        <v>38</v>
      </c>
      <c r="E835" s="2" t="s">
        <v>823</v>
      </c>
      <c r="F835">
        <v>51</v>
      </c>
      <c r="G835" t="s">
        <v>20</v>
      </c>
      <c r="H835" s="2" t="s">
        <v>2042</v>
      </c>
      <c r="I835">
        <v>1</v>
      </c>
      <c r="J835" t="str">
        <f>IF(Table1[[#This Row],[Resolution_Date]]="NA","Unresolved","Resolved")</f>
        <v>Resolved</v>
      </c>
      <c r="K835">
        <f>IF(Table1[[#This Row],[Resolution_Date]]="NA"," ",Table1[[#This Row],[Resolution_Date]]-Table1[[#This Row],[Complaint_Date]])</f>
        <v>2</v>
      </c>
      <c r="L835" t="str">
        <f>TEXT(Table1[[#This Row],[Complaint_Date]],"MMM")</f>
        <v>May</v>
      </c>
      <c r="M835" t="str">
        <f>IF(Table1[[#This Row],[Resolution_Time_Hours]]&lt;=24,"Fast",IF(Table1[[#This Row],[Resolution_Time_Hours]]&lt;=72,"Medium","Slow"))</f>
        <v>Medium</v>
      </c>
    </row>
    <row r="836" spans="1:13" x14ac:dyDescent="0.3">
      <c r="A836" t="s">
        <v>2043</v>
      </c>
      <c r="B836" t="s">
        <v>2044</v>
      </c>
      <c r="C836" t="s">
        <v>110</v>
      </c>
      <c r="D836" t="s">
        <v>12</v>
      </c>
      <c r="E836" s="2" t="s">
        <v>1209</v>
      </c>
      <c r="F836">
        <v>2</v>
      </c>
      <c r="G836" t="s">
        <v>20</v>
      </c>
      <c r="H836" s="2" t="s">
        <v>1209</v>
      </c>
      <c r="I836">
        <v>5</v>
      </c>
      <c r="J836" t="str">
        <f>IF(Table1[[#This Row],[Resolution_Date]]="NA","Unresolved","Resolved")</f>
        <v>Resolved</v>
      </c>
      <c r="K836">
        <f>IF(Table1[[#This Row],[Resolution_Date]]="NA"," ",Table1[[#This Row],[Resolution_Date]]-Table1[[#This Row],[Complaint_Date]])</f>
        <v>0</v>
      </c>
      <c r="L836" t="str">
        <f>TEXT(Table1[[#This Row],[Complaint_Date]],"MMM")</f>
        <v>Jul</v>
      </c>
      <c r="M836" t="str">
        <f>IF(Table1[[#This Row],[Resolution_Time_Hours]]&lt;=24,"Fast",IF(Table1[[#This Row],[Resolution_Time_Hours]]&lt;=72,"Medium","Slow"))</f>
        <v>Fast</v>
      </c>
    </row>
    <row r="837" spans="1:13" x14ac:dyDescent="0.3">
      <c r="A837" t="s">
        <v>2045</v>
      </c>
      <c r="B837" t="s">
        <v>2046</v>
      </c>
      <c r="C837" t="s">
        <v>34</v>
      </c>
      <c r="D837" t="s">
        <v>38</v>
      </c>
      <c r="E837" s="2" t="s">
        <v>293</v>
      </c>
      <c r="F837">
        <v>94</v>
      </c>
      <c r="G837" t="s">
        <v>14</v>
      </c>
      <c r="H837" s="2" t="s">
        <v>2820</v>
      </c>
      <c r="J837" t="str">
        <f>IF(Table1[[#This Row],[Resolution_Date]]="NA","Unresolved","Resolved")</f>
        <v>Unresolved</v>
      </c>
      <c r="K837" t="str">
        <f>IF(Table1[[#This Row],[Resolution_Date]]="NA"," ",Table1[[#This Row],[Resolution_Date]]-Table1[[#This Row],[Complaint_Date]])</f>
        <v xml:space="preserve"> </v>
      </c>
      <c r="L837" t="str">
        <f>TEXT(Table1[[#This Row],[Complaint_Date]],"MMM")</f>
        <v>Oct</v>
      </c>
      <c r="M837" t="str">
        <f>IF(Table1[[#This Row],[Resolution_Time_Hours]]&lt;=24,"Fast",IF(Table1[[#This Row],[Resolution_Time_Hours]]&lt;=72,"Medium","Slow"))</f>
        <v>Slow</v>
      </c>
    </row>
    <row r="838" spans="1:13" x14ac:dyDescent="0.3">
      <c r="A838" t="s">
        <v>2047</v>
      </c>
      <c r="B838" t="s">
        <v>2048</v>
      </c>
      <c r="C838" t="s">
        <v>110</v>
      </c>
      <c r="D838" t="s">
        <v>18</v>
      </c>
      <c r="E838" s="2" t="s">
        <v>812</v>
      </c>
      <c r="F838">
        <v>13</v>
      </c>
      <c r="G838" t="s">
        <v>20</v>
      </c>
      <c r="H838" s="2" t="s">
        <v>812</v>
      </c>
      <c r="I838">
        <v>3</v>
      </c>
      <c r="J838" t="str">
        <f>IF(Table1[[#This Row],[Resolution_Date]]="NA","Unresolved","Resolved")</f>
        <v>Resolved</v>
      </c>
      <c r="K838">
        <f>IF(Table1[[#This Row],[Resolution_Date]]="NA"," ",Table1[[#This Row],[Resolution_Date]]-Table1[[#This Row],[Complaint_Date]])</f>
        <v>0</v>
      </c>
      <c r="L838" t="str">
        <f>TEXT(Table1[[#This Row],[Complaint_Date]],"MMM")</f>
        <v>Feb</v>
      </c>
      <c r="M838" t="str">
        <f>IF(Table1[[#This Row],[Resolution_Time_Hours]]&lt;=24,"Fast",IF(Table1[[#This Row],[Resolution_Time_Hours]]&lt;=72,"Medium","Slow"))</f>
        <v>Fast</v>
      </c>
    </row>
    <row r="839" spans="1:13" x14ac:dyDescent="0.3">
      <c r="A839" t="s">
        <v>2049</v>
      </c>
      <c r="B839" t="s">
        <v>2050</v>
      </c>
      <c r="C839" t="s">
        <v>34</v>
      </c>
      <c r="D839" t="s">
        <v>95</v>
      </c>
      <c r="E839" s="2" t="s">
        <v>339</v>
      </c>
      <c r="F839">
        <v>60</v>
      </c>
      <c r="G839" t="s">
        <v>14</v>
      </c>
      <c r="H839" s="2" t="s">
        <v>2820</v>
      </c>
      <c r="J839" t="str">
        <f>IF(Table1[[#This Row],[Resolution_Date]]="NA","Unresolved","Resolved")</f>
        <v>Unresolved</v>
      </c>
      <c r="K839" t="str">
        <f>IF(Table1[[#This Row],[Resolution_Date]]="NA"," ",Table1[[#This Row],[Resolution_Date]]-Table1[[#This Row],[Complaint_Date]])</f>
        <v xml:space="preserve"> </v>
      </c>
      <c r="L839" t="str">
        <f>TEXT(Table1[[#This Row],[Complaint_Date]],"MMM")</f>
        <v>Apr</v>
      </c>
      <c r="M839" t="str">
        <f>IF(Table1[[#This Row],[Resolution_Time_Hours]]&lt;=24,"Fast",IF(Table1[[#This Row],[Resolution_Time_Hours]]&lt;=72,"Medium","Slow"))</f>
        <v>Medium</v>
      </c>
    </row>
    <row r="840" spans="1:13" x14ac:dyDescent="0.3">
      <c r="A840" t="s">
        <v>2051</v>
      </c>
      <c r="B840" t="s">
        <v>2052</v>
      </c>
      <c r="C840" t="s">
        <v>48</v>
      </c>
      <c r="D840" t="s">
        <v>12</v>
      </c>
      <c r="E840" s="2" t="s">
        <v>855</v>
      </c>
      <c r="F840">
        <v>49</v>
      </c>
      <c r="G840" t="s">
        <v>20</v>
      </c>
      <c r="H840" s="2" t="s">
        <v>277</v>
      </c>
      <c r="I840">
        <v>1</v>
      </c>
      <c r="J840" t="str">
        <f>IF(Table1[[#This Row],[Resolution_Date]]="NA","Unresolved","Resolved")</f>
        <v>Resolved</v>
      </c>
      <c r="K840">
        <f>IF(Table1[[#This Row],[Resolution_Date]]="NA"," ",Table1[[#This Row],[Resolution_Date]]-Table1[[#This Row],[Complaint_Date]])</f>
        <v>2</v>
      </c>
      <c r="L840" t="str">
        <f>TEXT(Table1[[#This Row],[Complaint_Date]],"MMM")</f>
        <v>Dec</v>
      </c>
      <c r="M840" t="str">
        <f>IF(Table1[[#This Row],[Resolution_Time_Hours]]&lt;=24,"Fast",IF(Table1[[#This Row],[Resolution_Time_Hours]]&lt;=72,"Medium","Slow"))</f>
        <v>Medium</v>
      </c>
    </row>
    <row r="841" spans="1:13" x14ac:dyDescent="0.3">
      <c r="A841" t="s">
        <v>2053</v>
      </c>
      <c r="B841" t="s">
        <v>2054</v>
      </c>
      <c r="C841" t="s">
        <v>53</v>
      </c>
      <c r="D841" t="s">
        <v>27</v>
      </c>
      <c r="E841" s="2" t="s">
        <v>217</v>
      </c>
      <c r="F841">
        <v>10</v>
      </c>
      <c r="G841" t="s">
        <v>40</v>
      </c>
      <c r="H841" s="2" t="s">
        <v>2820</v>
      </c>
      <c r="J841" t="str">
        <f>IF(Table1[[#This Row],[Resolution_Date]]="NA","Unresolved","Resolved")</f>
        <v>Unresolved</v>
      </c>
      <c r="K841" t="str">
        <f>IF(Table1[[#This Row],[Resolution_Date]]="NA"," ",Table1[[#This Row],[Resolution_Date]]-Table1[[#This Row],[Complaint_Date]])</f>
        <v xml:space="preserve"> </v>
      </c>
      <c r="L841" t="str">
        <f>TEXT(Table1[[#This Row],[Complaint_Date]],"MMM")</f>
        <v>Dec</v>
      </c>
      <c r="M841" t="str">
        <f>IF(Table1[[#This Row],[Resolution_Time_Hours]]&lt;=24,"Fast",IF(Table1[[#This Row],[Resolution_Time_Hours]]&lt;=72,"Medium","Slow"))</f>
        <v>Fast</v>
      </c>
    </row>
    <row r="842" spans="1:13" x14ac:dyDescent="0.3">
      <c r="A842" t="s">
        <v>2055</v>
      </c>
      <c r="B842" t="s">
        <v>2056</v>
      </c>
      <c r="C842" t="s">
        <v>34</v>
      </c>
      <c r="D842" t="s">
        <v>12</v>
      </c>
      <c r="E842" s="2" t="s">
        <v>671</v>
      </c>
      <c r="F842">
        <v>26</v>
      </c>
      <c r="G842" t="s">
        <v>20</v>
      </c>
      <c r="H842" s="2" t="s">
        <v>577</v>
      </c>
      <c r="I842">
        <v>2</v>
      </c>
      <c r="J842" t="str">
        <f>IF(Table1[[#This Row],[Resolution_Date]]="NA","Unresolved","Resolved")</f>
        <v>Resolved</v>
      </c>
      <c r="K842">
        <f>IF(Table1[[#This Row],[Resolution_Date]]="NA"," ",Table1[[#This Row],[Resolution_Date]]-Table1[[#This Row],[Complaint_Date]])</f>
        <v>1</v>
      </c>
      <c r="L842" t="str">
        <f>TEXT(Table1[[#This Row],[Complaint_Date]],"MMM")</f>
        <v>Aug</v>
      </c>
      <c r="M842" t="str">
        <f>IF(Table1[[#This Row],[Resolution_Time_Hours]]&lt;=24,"Fast",IF(Table1[[#This Row],[Resolution_Time_Hours]]&lt;=72,"Medium","Slow"))</f>
        <v>Medium</v>
      </c>
    </row>
    <row r="843" spans="1:13" x14ac:dyDescent="0.3">
      <c r="A843" t="s">
        <v>2057</v>
      </c>
      <c r="B843" t="s">
        <v>2058</v>
      </c>
      <c r="C843" t="s">
        <v>53</v>
      </c>
      <c r="D843" t="s">
        <v>12</v>
      </c>
      <c r="E843" s="2" t="s">
        <v>186</v>
      </c>
      <c r="F843">
        <v>3</v>
      </c>
      <c r="G843" t="s">
        <v>14</v>
      </c>
      <c r="H843" s="2" t="s">
        <v>2820</v>
      </c>
      <c r="J843" t="str">
        <f>IF(Table1[[#This Row],[Resolution_Date]]="NA","Unresolved","Resolved")</f>
        <v>Unresolved</v>
      </c>
      <c r="K843" t="str">
        <f>IF(Table1[[#This Row],[Resolution_Date]]="NA"," ",Table1[[#This Row],[Resolution_Date]]-Table1[[#This Row],[Complaint_Date]])</f>
        <v xml:space="preserve"> </v>
      </c>
      <c r="L843" t="str">
        <f>TEXT(Table1[[#This Row],[Complaint_Date]],"MMM")</f>
        <v>Dec</v>
      </c>
      <c r="M843" t="str">
        <f>IF(Table1[[#This Row],[Resolution_Time_Hours]]&lt;=24,"Fast",IF(Table1[[#This Row],[Resolution_Time_Hours]]&lt;=72,"Medium","Slow"))</f>
        <v>Fast</v>
      </c>
    </row>
    <row r="844" spans="1:13" x14ac:dyDescent="0.3">
      <c r="A844" t="s">
        <v>2059</v>
      </c>
      <c r="B844" t="s">
        <v>2060</v>
      </c>
      <c r="C844" t="s">
        <v>110</v>
      </c>
      <c r="D844" t="s">
        <v>12</v>
      </c>
      <c r="E844" s="2" t="s">
        <v>2000</v>
      </c>
      <c r="F844">
        <v>18</v>
      </c>
      <c r="G844" t="s">
        <v>40</v>
      </c>
      <c r="H844" s="2" t="s">
        <v>2820</v>
      </c>
      <c r="J844" t="str">
        <f>IF(Table1[[#This Row],[Resolution_Date]]="NA","Unresolved","Resolved")</f>
        <v>Unresolved</v>
      </c>
      <c r="K844" t="str">
        <f>IF(Table1[[#This Row],[Resolution_Date]]="NA"," ",Table1[[#This Row],[Resolution_Date]]-Table1[[#This Row],[Complaint_Date]])</f>
        <v xml:space="preserve"> </v>
      </c>
      <c r="L844" t="str">
        <f>TEXT(Table1[[#This Row],[Complaint_Date]],"MMM")</f>
        <v>Jun</v>
      </c>
      <c r="M844" t="str">
        <f>IF(Table1[[#This Row],[Resolution_Time_Hours]]&lt;=24,"Fast",IF(Table1[[#This Row],[Resolution_Time_Hours]]&lt;=72,"Medium","Slow"))</f>
        <v>Fast</v>
      </c>
    </row>
    <row r="845" spans="1:13" x14ac:dyDescent="0.3">
      <c r="A845" t="s">
        <v>2061</v>
      </c>
      <c r="B845" t="s">
        <v>2062</v>
      </c>
      <c r="C845" t="s">
        <v>43</v>
      </c>
      <c r="D845" t="s">
        <v>27</v>
      </c>
      <c r="E845" s="2" t="s">
        <v>690</v>
      </c>
      <c r="F845">
        <v>54</v>
      </c>
      <c r="G845" t="s">
        <v>40</v>
      </c>
      <c r="H845" s="2" t="s">
        <v>2820</v>
      </c>
      <c r="J845" t="str">
        <f>IF(Table1[[#This Row],[Resolution_Date]]="NA","Unresolved","Resolved")</f>
        <v>Unresolved</v>
      </c>
      <c r="K845" t="str">
        <f>IF(Table1[[#This Row],[Resolution_Date]]="NA"," ",Table1[[#This Row],[Resolution_Date]]-Table1[[#This Row],[Complaint_Date]])</f>
        <v xml:space="preserve"> </v>
      </c>
      <c r="L845" t="str">
        <f>TEXT(Table1[[#This Row],[Complaint_Date]],"MMM")</f>
        <v>Jan</v>
      </c>
      <c r="M845" t="str">
        <f>IF(Table1[[#This Row],[Resolution_Time_Hours]]&lt;=24,"Fast",IF(Table1[[#This Row],[Resolution_Time_Hours]]&lt;=72,"Medium","Slow"))</f>
        <v>Medium</v>
      </c>
    </row>
    <row r="846" spans="1:13" x14ac:dyDescent="0.3">
      <c r="A846" t="s">
        <v>2063</v>
      </c>
      <c r="B846" t="s">
        <v>2064</v>
      </c>
      <c r="C846" t="s">
        <v>17</v>
      </c>
      <c r="D846" t="s">
        <v>27</v>
      </c>
      <c r="E846" s="2" t="s">
        <v>220</v>
      </c>
      <c r="F846">
        <v>6</v>
      </c>
      <c r="G846" t="s">
        <v>20</v>
      </c>
      <c r="H846" s="2" t="s">
        <v>220</v>
      </c>
      <c r="I846">
        <v>5</v>
      </c>
      <c r="J846" t="str">
        <f>IF(Table1[[#This Row],[Resolution_Date]]="NA","Unresolved","Resolved")</f>
        <v>Resolved</v>
      </c>
      <c r="K846">
        <f>IF(Table1[[#This Row],[Resolution_Date]]="NA"," ",Table1[[#This Row],[Resolution_Date]]-Table1[[#This Row],[Complaint_Date]])</f>
        <v>0</v>
      </c>
      <c r="L846" t="str">
        <f>TEXT(Table1[[#This Row],[Complaint_Date]],"MMM")</f>
        <v>Jul</v>
      </c>
      <c r="M846" t="str">
        <f>IF(Table1[[#This Row],[Resolution_Time_Hours]]&lt;=24,"Fast",IF(Table1[[#This Row],[Resolution_Time_Hours]]&lt;=72,"Medium","Slow"))</f>
        <v>Fast</v>
      </c>
    </row>
    <row r="847" spans="1:13" x14ac:dyDescent="0.3">
      <c r="A847" t="s">
        <v>2065</v>
      </c>
      <c r="B847" t="s">
        <v>2066</v>
      </c>
      <c r="C847" t="s">
        <v>53</v>
      </c>
      <c r="D847" t="s">
        <v>27</v>
      </c>
      <c r="E847" s="2" t="s">
        <v>517</v>
      </c>
      <c r="F847">
        <v>10</v>
      </c>
      <c r="G847" t="s">
        <v>20</v>
      </c>
      <c r="H847" s="2" t="s">
        <v>517</v>
      </c>
      <c r="I847">
        <v>4</v>
      </c>
      <c r="J847" t="str">
        <f>IF(Table1[[#This Row],[Resolution_Date]]="NA","Unresolved","Resolved")</f>
        <v>Resolved</v>
      </c>
      <c r="K847">
        <f>IF(Table1[[#This Row],[Resolution_Date]]="NA"," ",Table1[[#This Row],[Resolution_Date]]-Table1[[#This Row],[Complaint_Date]])</f>
        <v>0</v>
      </c>
      <c r="L847" t="str">
        <f>TEXT(Table1[[#This Row],[Complaint_Date]],"MMM")</f>
        <v>Feb</v>
      </c>
      <c r="M847" t="str">
        <f>IF(Table1[[#This Row],[Resolution_Time_Hours]]&lt;=24,"Fast",IF(Table1[[#This Row],[Resolution_Time_Hours]]&lt;=72,"Medium","Slow"))</f>
        <v>Fast</v>
      </c>
    </row>
    <row r="848" spans="1:13" x14ac:dyDescent="0.3">
      <c r="A848" t="s">
        <v>2067</v>
      </c>
      <c r="B848" t="s">
        <v>2068</v>
      </c>
      <c r="C848" t="s">
        <v>43</v>
      </c>
      <c r="D848" t="s">
        <v>18</v>
      </c>
      <c r="E848" s="2" t="s">
        <v>912</v>
      </c>
      <c r="F848">
        <v>28</v>
      </c>
      <c r="G848" t="s">
        <v>40</v>
      </c>
      <c r="H848" s="2" t="s">
        <v>2820</v>
      </c>
      <c r="J848" t="str">
        <f>IF(Table1[[#This Row],[Resolution_Date]]="NA","Unresolved","Resolved")</f>
        <v>Unresolved</v>
      </c>
      <c r="K848" t="str">
        <f>IF(Table1[[#This Row],[Resolution_Date]]="NA"," ",Table1[[#This Row],[Resolution_Date]]-Table1[[#This Row],[Complaint_Date]])</f>
        <v xml:space="preserve"> </v>
      </c>
      <c r="L848" t="str">
        <f>TEXT(Table1[[#This Row],[Complaint_Date]],"MMM")</f>
        <v>Apr</v>
      </c>
      <c r="M848" t="str">
        <f>IF(Table1[[#This Row],[Resolution_Time_Hours]]&lt;=24,"Fast",IF(Table1[[#This Row],[Resolution_Time_Hours]]&lt;=72,"Medium","Slow"))</f>
        <v>Medium</v>
      </c>
    </row>
    <row r="849" spans="1:13" x14ac:dyDescent="0.3">
      <c r="A849" t="s">
        <v>2069</v>
      </c>
      <c r="B849" t="s">
        <v>2070</v>
      </c>
      <c r="C849" t="s">
        <v>11</v>
      </c>
      <c r="D849" t="s">
        <v>18</v>
      </c>
      <c r="E849" s="2" t="s">
        <v>611</v>
      </c>
      <c r="F849">
        <v>11</v>
      </c>
      <c r="G849" t="s">
        <v>20</v>
      </c>
      <c r="H849" s="2" t="s">
        <v>611</v>
      </c>
      <c r="I849">
        <v>5</v>
      </c>
      <c r="J849" t="str">
        <f>IF(Table1[[#This Row],[Resolution_Date]]="NA","Unresolved","Resolved")</f>
        <v>Resolved</v>
      </c>
      <c r="K849">
        <f>IF(Table1[[#This Row],[Resolution_Date]]="NA"," ",Table1[[#This Row],[Resolution_Date]]-Table1[[#This Row],[Complaint_Date]])</f>
        <v>0</v>
      </c>
      <c r="L849" t="str">
        <f>TEXT(Table1[[#This Row],[Complaint_Date]],"MMM")</f>
        <v>Apr</v>
      </c>
      <c r="M849" t="str">
        <f>IF(Table1[[#This Row],[Resolution_Time_Hours]]&lt;=24,"Fast",IF(Table1[[#This Row],[Resolution_Time_Hours]]&lt;=72,"Medium","Slow"))</f>
        <v>Fast</v>
      </c>
    </row>
    <row r="850" spans="1:13" x14ac:dyDescent="0.3">
      <c r="A850" t="s">
        <v>2071</v>
      </c>
      <c r="B850" t="s">
        <v>2072</v>
      </c>
      <c r="C850" t="s">
        <v>110</v>
      </c>
      <c r="D850" t="s">
        <v>38</v>
      </c>
      <c r="E850" s="2" t="s">
        <v>1239</v>
      </c>
      <c r="F850">
        <v>4</v>
      </c>
      <c r="G850" t="s">
        <v>20</v>
      </c>
      <c r="H850" s="2" t="s">
        <v>1239</v>
      </c>
      <c r="I850">
        <v>5</v>
      </c>
      <c r="J850" t="str">
        <f>IF(Table1[[#This Row],[Resolution_Date]]="NA","Unresolved","Resolved")</f>
        <v>Resolved</v>
      </c>
      <c r="K850">
        <f>IF(Table1[[#This Row],[Resolution_Date]]="NA"," ",Table1[[#This Row],[Resolution_Date]]-Table1[[#This Row],[Complaint_Date]])</f>
        <v>0</v>
      </c>
      <c r="L850" t="str">
        <f>TEXT(Table1[[#This Row],[Complaint_Date]],"MMM")</f>
        <v>Jan</v>
      </c>
      <c r="M850" t="str">
        <f>IF(Table1[[#This Row],[Resolution_Time_Hours]]&lt;=24,"Fast",IF(Table1[[#This Row],[Resolution_Time_Hours]]&lt;=72,"Medium","Slow"))</f>
        <v>Fast</v>
      </c>
    </row>
    <row r="851" spans="1:13" x14ac:dyDescent="0.3">
      <c r="A851" t="s">
        <v>2073</v>
      </c>
      <c r="B851" t="s">
        <v>2074</v>
      </c>
      <c r="C851" t="s">
        <v>110</v>
      </c>
      <c r="D851" t="s">
        <v>18</v>
      </c>
      <c r="E851" s="2" t="s">
        <v>1220</v>
      </c>
      <c r="F851">
        <v>11</v>
      </c>
      <c r="G851" t="s">
        <v>20</v>
      </c>
      <c r="H851" s="2" t="s">
        <v>1220</v>
      </c>
      <c r="I851">
        <v>4</v>
      </c>
      <c r="J851" t="str">
        <f>IF(Table1[[#This Row],[Resolution_Date]]="NA","Unresolved","Resolved")</f>
        <v>Resolved</v>
      </c>
      <c r="K851">
        <f>IF(Table1[[#This Row],[Resolution_Date]]="NA"," ",Table1[[#This Row],[Resolution_Date]]-Table1[[#This Row],[Complaint_Date]])</f>
        <v>0</v>
      </c>
      <c r="L851" t="str">
        <f>TEXT(Table1[[#This Row],[Complaint_Date]],"MMM")</f>
        <v>Mar</v>
      </c>
      <c r="M851" t="str">
        <f>IF(Table1[[#This Row],[Resolution_Time_Hours]]&lt;=24,"Fast",IF(Table1[[#This Row],[Resolution_Time_Hours]]&lt;=72,"Medium","Slow"))</f>
        <v>Fast</v>
      </c>
    </row>
    <row r="852" spans="1:13" x14ac:dyDescent="0.3">
      <c r="A852" t="s">
        <v>2075</v>
      </c>
      <c r="B852" t="s">
        <v>2076</v>
      </c>
      <c r="C852" t="s">
        <v>17</v>
      </c>
      <c r="D852" t="s">
        <v>27</v>
      </c>
      <c r="E852" s="2" t="s">
        <v>261</v>
      </c>
      <c r="F852">
        <v>10</v>
      </c>
      <c r="G852" t="s">
        <v>20</v>
      </c>
      <c r="H852" s="2" t="s">
        <v>261</v>
      </c>
      <c r="I852">
        <v>4</v>
      </c>
      <c r="J852" t="str">
        <f>IF(Table1[[#This Row],[Resolution_Date]]="NA","Unresolved","Resolved")</f>
        <v>Resolved</v>
      </c>
      <c r="K852">
        <f>IF(Table1[[#This Row],[Resolution_Date]]="NA"," ",Table1[[#This Row],[Resolution_Date]]-Table1[[#This Row],[Complaint_Date]])</f>
        <v>0</v>
      </c>
      <c r="L852" t="str">
        <f>TEXT(Table1[[#This Row],[Complaint_Date]],"MMM")</f>
        <v>Mar</v>
      </c>
      <c r="M852" t="str">
        <f>IF(Table1[[#This Row],[Resolution_Time_Hours]]&lt;=24,"Fast",IF(Table1[[#This Row],[Resolution_Time_Hours]]&lt;=72,"Medium","Slow"))</f>
        <v>Fast</v>
      </c>
    </row>
    <row r="853" spans="1:13" x14ac:dyDescent="0.3">
      <c r="A853" t="s">
        <v>2077</v>
      </c>
      <c r="B853" t="s">
        <v>2078</v>
      </c>
      <c r="C853" t="s">
        <v>53</v>
      </c>
      <c r="D853" t="s">
        <v>38</v>
      </c>
      <c r="E853" s="2" t="s">
        <v>420</v>
      </c>
      <c r="F853">
        <v>2</v>
      </c>
      <c r="G853" t="s">
        <v>20</v>
      </c>
      <c r="H853" s="2" t="s">
        <v>420</v>
      </c>
      <c r="I853">
        <v>5</v>
      </c>
      <c r="J853" t="str">
        <f>IF(Table1[[#This Row],[Resolution_Date]]="NA","Unresolved","Resolved")</f>
        <v>Resolved</v>
      </c>
      <c r="K853">
        <f>IF(Table1[[#This Row],[Resolution_Date]]="NA"," ",Table1[[#This Row],[Resolution_Date]]-Table1[[#This Row],[Complaint_Date]])</f>
        <v>0</v>
      </c>
      <c r="L853" t="str">
        <f>TEXT(Table1[[#This Row],[Complaint_Date]],"MMM")</f>
        <v>Mar</v>
      </c>
      <c r="M853" t="str">
        <f>IF(Table1[[#This Row],[Resolution_Time_Hours]]&lt;=24,"Fast",IF(Table1[[#This Row],[Resolution_Time_Hours]]&lt;=72,"Medium","Slow"))</f>
        <v>Fast</v>
      </c>
    </row>
    <row r="854" spans="1:13" x14ac:dyDescent="0.3">
      <c r="A854" t="s">
        <v>2079</v>
      </c>
      <c r="B854" t="s">
        <v>2080</v>
      </c>
      <c r="C854" t="s">
        <v>110</v>
      </c>
      <c r="D854" t="s">
        <v>95</v>
      </c>
      <c r="E854" s="2" t="s">
        <v>1321</v>
      </c>
      <c r="F854">
        <v>10</v>
      </c>
      <c r="G854" t="s">
        <v>20</v>
      </c>
      <c r="H854" s="2" t="s">
        <v>1321</v>
      </c>
      <c r="I854">
        <v>4</v>
      </c>
      <c r="J854" t="str">
        <f>IF(Table1[[#This Row],[Resolution_Date]]="NA","Unresolved","Resolved")</f>
        <v>Resolved</v>
      </c>
      <c r="K854">
        <f>IF(Table1[[#This Row],[Resolution_Date]]="NA"," ",Table1[[#This Row],[Resolution_Date]]-Table1[[#This Row],[Complaint_Date]])</f>
        <v>0</v>
      </c>
      <c r="L854" t="str">
        <f>TEXT(Table1[[#This Row],[Complaint_Date]],"MMM")</f>
        <v>Jan</v>
      </c>
      <c r="M854" t="str">
        <f>IF(Table1[[#This Row],[Resolution_Time_Hours]]&lt;=24,"Fast",IF(Table1[[#This Row],[Resolution_Time_Hours]]&lt;=72,"Medium","Slow"))</f>
        <v>Fast</v>
      </c>
    </row>
    <row r="855" spans="1:13" x14ac:dyDescent="0.3">
      <c r="A855" t="s">
        <v>2081</v>
      </c>
      <c r="B855" t="s">
        <v>2082</v>
      </c>
      <c r="C855" t="s">
        <v>70</v>
      </c>
      <c r="D855" t="s">
        <v>38</v>
      </c>
      <c r="E855" s="2" t="s">
        <v>31</v>
      </c>
      <c r="F855">
        <v>12</v>
      </c>
      <c r="G855" t="s">
        <v>14</v>
      </c>
      <c r="H855" s="2" t="s">
        <v>2820</v>
      </c>
      <c r="J855" t="str">
        <f>IF(Table1[[#This Row],[Resolution_Date]]="NA","Unresolved","Resolved")</f>
        <v>Unresolved</v>
      </c>
      <c r="K855" t="str">
        <f>IF(Table1[[#This Row],[Resolution_Date]]="NA"," ",Table1[[#This Row],[Resolution_Date]]-Table1[[#This Row],[Complaint_Date]])</f>
        <v xml:space="preserve"> </v>
      </c>
      <c r="L855" t="str">
        <f>TEXT(Table1[[#This Row],[Complaint_Date]],"MMM")</f>
        <v>Mar</v>
      </c>
      <c r="M855" t="str">
        <f>IF(Table1[[#This Row],[Resolution_Time_Hours]]&lt;=24,"Fast",IF(Table1[[#This Row],[Resolution_Time_Hours]]&lt;=72,"Medium","Slow"))</f>
        <v>Fast</v>
      </c>
    </row>
    <row r="856" spans="1:13" x14ac:dyDescent="0.3">
      <c r="A856" t="s">
        <v>2083</v>
      </c>
      <c r="B856" t="s">
        <v>2084</v>
      </c>
      <c r="C856" t="s">
        <v>34</v>
      </c>
      <c r="D856" t="s">
        <v>12</v>
      </c>
      <c r="E856" s="2" t="s">
        <v>274</v>
      </c>
      <c r="F856">
        <v>34</v>
      </c>
      <c r="G856" t="s">
        <v>20</v>
      </c>
      <c r="H856" s="2" t="s">
        <v>140</v>
      </c>
      <c r="I856">
        <v>2</v>
      </c>
      <c r="J856" t="str">
        <f>IF(Table1[[#This Row],[Resolution_Date]]="NA","Unresolved","Resolved")</f>
        <v>Resolved</v>
      </c>
      <c r="K856">
        <f>IF(Table1[[#This Row],[Resolution_Date]]="NA"," ",Table1[[#This Row],[Resolution_Date]]-Table1[[#This Row],[Complaint_Date]])</f>
        <v>1</v>
      </c>
      <c r="L856" t="str">
        <f>TEXT(Table1[[#This Row],[Complaint_Date]],"MMM")</f>
        <v>Nov</v>
      </c>
      <c r="M856" t="str">
        <f>IF(Table1[[#This Row],[Resolution_Time_Hours]]&lt;=24,"Fast",IF(Table1[[#This Row],[Resolution_Time_Hours]]&lt;=72,"Medium","Slow"))</f>
        <v>Medium</v>
      </c>
    </row>
    <row r="857" spans="1:13" x14ac:dyDescent="0.3">
      <c r="A857" t="s">
        <v>2085</v>
      </c>
      <c r="B857" t="s">
        <v>2086</v>
      </c>
      <c r="C857" t="s">
        <v>70</v>
      </c>
      <c r="D857" t="s">
        <v>27</v>
      </c>
      <c r="E857" s="2" t="s">
        <v>622</v>
      </c>
      <c r="F857">
        <v>9</v>
      </c>
      <c r="G857" t="s">
        <v>40</v>
      </c>
      <c r="H857" s="2" t="s">
        <v>2820</v>
      </c>
      <c r="J857" t="str">
        <f>IF(Table1[[#This Row],[Resolution_Date]]="NA","Unresolved","Resolved")</f>
        <v>Unresolved</v>
      </c>
      <c r="K857" t="str">
        <f>IF(Table1[[#This Row],[Resolution_Date]]="NA"," ",Table1[[#This Row],[Resolution_Date]]-Table1[[#This Row],[Complaint_Date]])</f>
        <v xml:space="preserve"> </v>
      </c>
      <c r="L857" t="str">
        <f>TEXT(Table1[[#This Row],[Complaint_Date]],"MMM")</f>
        <v>Mar</v>
      </c>
      <c r="M857" t="str">
        <f>IF(Table1[[#This Row],[Resolution_Time_Hours]]&lt;=24,"Fast",IF(Table1[[#This Row],[Resolution_Time_Hours]]&lt;=72,"Medium","Slow"))</f>
        <v>Fast</v>
      </c>
    </row>
    <row r="858" spans="1:13" x14ac:dyDescent="0.3">
      <c r="A858" t="s">
        <v>2087</v>
      </c>
      <c r="B858" t="s">
        <v>2088</v>
      </c>
      <c r="C858" t="s">
        <v>34</v>
      </c>
      <c r="D858" t="s">
        <v>95</v>
      </c>
      <c r="E858" s="2" t="s">
        <v>1457</v>
      </c>
      <c r="F858">
        <v>68</v>
      </c>
      <c r="G858" t="s">
        <v>20</v>
      </c>
      <c r="H858" s="2" t="s">
        <v>318</v>
      </c>
      <c r="I858">
        <v>1</v>
      </c>
      <c r="J858" t="str">
        <f>IF(Table1[[#This Row],[Resolution_Date]]="NA","Unresolved","Resolved")</f>
        <v>Resolved</v>
      </c>
      <c r="K858">
        <f>IF(Table1[[#This Row],[Resolution_Date]]="NA"," ",Table1[[#This Row],[Resolution_Date]]-Table1[[#This Row],[Complaint_Date]])</f>
        <v>2</v>
      </c>
      <c r="L858" t="str">
        <f>TEXT(Table1[[#This Row],[Complaint_Date]],"MMM")</f>
        <v>Feb</v>
      </c>
      <c r="M858" t="str">
        <f>IF(Table1[[#This Row],[Resolution_Time_Hours]]&lt;=24,"Fast",IF(Table1[[#This Row],[Resolution_Time_Hours]]&lt;=72,"Medium","Slow"))</f>
        <v>Medium</v>
      </c>
    </row>
    <row r="859" spans="1:13" x14ac:dyDescent="0.3">
      <c r="A859" t="s">
        <v>2089</v>
      </c>
      <c r="B859" t="s">
        <v>2090</v>
      </c>
      <c r="C859" t="s">
        <v>43</v>
      </c>
      <c r="D859" t="s">
        <v>27</v>
      </c>
      <c r="E859" s="2" t="s">
        <v>1410</v>
      </c>
      <c r="F859">
        <v>58</v>
      </c>
      <c r="G859" t="s">
        <v>14</v>
      </c>
      <c r="H859" s="2" t="s">
        <v>2820</v>
      </c>
      <c r="J859" t="str">
        <f>IF(Table1[[#This Row],[Resolution_Date]]="NA","Unresolved","Resolved")</f>
        <v>Unresolved</v>
      </c>
      <c r="K859" t="str">
        <f>IF(Table1[[#This Row],[Resolution_Date]]="NA"," ",Table1[[#This Row],[Resolution_Date]]-Table1[[#This Row],[Complaint_Date]])</f>
        <v xml:space="preserve"> </v>
      </c>
      <c r="L859" t="str">
        <f>TEXT(Table1[[#This Row],[Complaint_Date]],"MMM")</f>
        <v>Jun</v>
      </c>
      <c r="M859" t="str">
        <f>IF(Table1[[#This Row],[Resolution_Time_Hours]]&lt;=24,"Fast",IF(Table1[[#This Row],[Resolution_Time_Hours]]&lt;=72,"Medium","Slow"))</f>
        <v>Medium</v>
      </c>
    </row>
    <row r="860" spans="1:13" x14ac:dyDescent="0.3">
      <c r="A860" t="s">
        <v>2091</v>
      </c>
      <c r="B860" t="s">
        <v>2092</v>
      </c>
      <c r="C860" t="s">
        <v>11</v>
      </c>
      <c r="D860" t="s">
        <v>18</v>
      </c>
      <c r="E860" s="2" t="s">
        <v>466</v>
      </c>
      <c r="F860">
        <v>44</v>
      </c>
      <c r="G860" t="s">
        <v>20</v>
      </c>
      <c r="H860" s="2" t="s">
        <v>223</v>
      </c>
      <c r="I860">
        <v>2</v>
      </c>
      <c r="J860" t="str">
        <f>IF(Table1[[#This Row],[Resolution_Date]]="NA","Unresolved","Resolved")</f>
        <v>Resolved</v>
      </c>
      <c r="K860">
        <f>IF(Table1[[#This Row],[Resolution_Date]]="NA"," ",Table1[[#This Row],[Resolution_Date]]-Table1[[#This Row],[Complaint_Date]])</f>
        <v>1</v>
      </c>
      <c r="L860" t="str">
        <f>TEXT(Table1[[#This Row],[Complaint_Date]],"MMM")</f>
        <v>Dec</v>
      </c>
      <c r="M860" t="str">
        <f>IF(Table1[[#This Row],[Resolution_Time_Hours]]&lt;=24,"Fast",IF(Table1[[#This Row],[Resolution_Time_Hours]]&lt;=72,"Medium","Slow"))</f>
        <v>Medium</v>
      </c>
    </row>
    <row r="861" spans="1:13" x14ac:dyDescent="0.3">
      <c r="A861" t="s">
        <v>2093</v>
      </c>
      <c r="B861" t="s">
        <v>2094</v>
      </c>
      <c r="C861" t="s">
        <v>17</v>
      </c>
      <c r="D861" t="s">
        <v>95</v>
      </c>
      <c r="E861" s="2" t="s">
        <v>1317</v>
      </c>
      <c r="F861">
        <v>20</v>
      </c>
      <c r="G861" t="s">
        <v>40</v>
      </c>
      <c r="H861" s="2" t="s">
        <v>2820</v>
      </c>
      <c r="J861" t="str">
        <f>IF(Table1[[#This Row],[Resolution_Date]]="NA","Unresolved","Resolved")</f>
        <v>Unresolved</v>
      </c>
      <c r="K861" t="str">
        <f>IF(Table1[[#This Row],[Resolution_Date]]="NA"," ",Table1[[#This Row],[Resolution_Date]]-Table1[[#This Row],[Complaint_Date]])</f>
        <v xml:space="preserve"> </v>
      </c>
      <c r="L861" t="str">
        <f>TEXT(Table1[[#This Row],[Complaint_Date]],"MMM")</f>
        <v>Jun</v>
      </c>
      <c r="M861" t="str">
        <f>IF(Table1[[#This Row],[Resolution_Time_Hours]]&lt;=24,"Fast",IF(Table1[[#This Row],[Resolution_Time_Hours]]&lt;=72,"Medium","Slow"))</f>
        <v>Fast</v>
      </c>
    </row>
    <row r="862" spans="1:13" x14ac:dyDescent="0.3">
      <c r="A862" t="s">
        <v>2095</v>
      </c>
      <c r="B862" t="s">
        <v>2096</v>
      </c>
      <c r="C862" t="s">
        <v>53</v>
      </c>
      <c r="D862" t="s">
        <v>27</v>
      </c>
      <c r="E862" s="2" t="s">
        <v>264</v>
      </c>
      <c r="F862">
        <v>4</v>
      </c>
      <c r="G862" t="s">
        <v>20</v>
      </c>
      <c r="H862" s="2" t="s">
        <v>264</v>
      </c>
      <c r="I862">
        <v>5</v>
      </c>
      <c r="J862" t="str">
        <f>IF(Table1[[#This Row],[Resolution_Date]]="NA","Unresolved","Resolved")</f>
        <v>Resolved</v>
      </c>
      <c r="K862">
        <f>IF(Table1[[#This Row],[Resolution_Date]]="NA"," ",Table1[[#This Row],[Resolution_Date]]-Table1[[#This Row],[Complaint_Date]])</f>
        <v>0</v>
      </c>
      <c r="L862" t="str">
        <f>TEXT(Table1[[#This Row],[Complaint_Date]],"MMM")</f>
        <v>May</v>
      </c>
      <c r="M862" t="str">
        <f>IF(Table1[[#This Row],[Resolution_Time_Hours]]&lt;=24,"Fast",IF(Table1[[#This Row],[Resolution_Time_Hours]]&lt;=72,"Medium","Slow"))</f>
        <v>Fast</v>
      </c>
    </row>
    <row r="863" spans="1:13" x14ac:dyDescent="0.3">
      <c r="A863" t="s">
        <v>2097</v>
      </c>
      <c r="B863" t="s">
        <v>2098</v>
      </c>
      <c r="C863" t="s">
        <v>110</v>
      </c>
      <c r="D863" t="s">
        <v>95</v>
      </c>
      <c r="E863" s="2" t="s">
        <v>28</v>
      </c>
      <c r="F863">
        <v>4</v>
      </c>
      <c r="G863" t="s">
        <v>14</v>
      </c>
      <c r="H863" s="2" t="s">
        <v>2820</v>
      </c>
      <c r="J863" t="str">
        <f>IF(Table1[[#This Row],[Resolution_Date]]="NA","Unresolved","Resolved")</f>
        <v>Unresolved</v>
      </c>
      <c r="K863" t="str">
        <f>IF(Table1[[#This Row],[Resolution_Date]]="NA"," ",Table1[[#This Row],[Resolution_Date]]-Table1[[#This Row],[Complaint_Date]])</f>
        <v xml:space="preserve"> </v>
      </c>
      <c r="L863" t="str">
        <f>TEXT(Table1[[#This Row],[Complaint_Date]],"MMM")</f>
        <v>May</v>
      </c>
      <c r="M863" t="str">
        <f>IF(Table1[[#This Row],[Resolution_Time_Hours]]&lt;=24,"Fast",IF(Table1[[#This Row],[Resolution_Time_Hours]]&lt;=72,"Medium","Slow"))</f>
        <v>Fast</v>
      </c>
    </row>
    <row r="864" spans="1:13" x14ac:dyDescent="0.3">
      <c r="A864" t="s">
        <v>2099</v>
      </c>
      <c r="B864" t="s">
        <v>2100</v>
      </c>
      <c r="C864" t="s">
        <v>34</v>
      </c>
      <c r="D864" t="s">
        <v>18</v>
      </c>
      <c r="E864" s="2" t="s">
        <v>19</v>
      </c>
      <c r="F864">
        <v>93</v>
      </c>
      <c r="G864" t="s">
        <v>20</v>
      </c>
      <c r="H864" s="2" t="s">
        <v>156</v>
      </c>
      <c r="I864">
        <v>1</v>
      </c>
      <c r="J864" t="str">
        <f>IF(Table1[[#This Row],[Resolution_Date]]="NA","Unresolved","Resolved")</f>
        <v>Resolved</v>
      </c>
      <c r="K864">
        <f>IF(Table1[[#This Row],[Resolution_Date]]="NA"," ",Table1[[#This Row],[Resolution_Date]]-Table1[[#This Row],[Complaint_Date]])</f>
        <v>3</v>
      </c>
      <c r="L864" t="str">
        <f>TEXT(Table1[[#This Row],[Complaint_Date]],"MMM")</f>
        <v>Oct</v>
      </c>
      <c r="M864" t="str">
        <f>IF(Table1[[#This Row],[Resolution_Time_Hours]]&lt;=24,"Fast",IF(Table1[[#This Row],[Resolution_Time_Hours]]&lt;=72,"Medium","Slow"))</f>
        <v>Slow</v>
      </c>
    </row>
    <row r="865" spans="1:13" x14ac:dyDescent="0.3">
      <c r="A865" t="s">
        <v>2101</v>
      </c>
      <c r="B865" t="s">
        <v>2102</v>
      </c>
      <c r="C865" t="s">
        <v>43</v>
      </c>
      <c r="D865" t="s">
        <v>27</v>
      </c>
      <c r="E865" s="2" t="s">
        <v>2103</v>
      </c>
      <c r="F865">
        <v>16</v>
      </c>
      <c r="G865" t="s">
        <v>20</v>
      </c>
      <c r="H865" s="2" t="s">
        <v>2103</v>
      </c>
      <c r="I865">
        <v>3</v>
      </c>
      <c r="J865" t="str">
        <f>IF(Table1[[#This Row],[Resolution_Date]]="NA","Unresolved","Resolved")</f>
        <v>Resolved</v>
      </c>
      <c r="K865">
        <f>IF(Table1[[#This Row],[Resolution_Date]]="NA"," ",Table1[[#This Row],[Resolution_Date]]-Table1[[#This Row],[Complaint_Date]])</f>
        <v>0</v>
      </c>
      <c r="L865" t="str">
        <f>TEXT(Table1[[#This Row],[Complaint_Date]],"MMM")</f>
        <v>Oct</v>
      </c>
      <c r="M865" t="str">
        <f>IF(Table1[[#This Row],[Resolution_Time_Hours]]&lt;=24,"Fast",IF(Table1[[#This Row],[Resolution_Time_Hours]]&lt;=72,"Medium","Slow"))</f>
        <v>Fast</v>
      </c>
    </row>
    <row r="866" spans="1:13" x14ac:dyDescent="0.3">
      <c r="A866" t="s">
        <v>2104</v>
      </c>
      <c r="B866" t="s">
        <v>2105</v>
      </c>
      <c r="C866" t="s">
        <v>110</v>
      </c>
      <c r="D866" t="s">
        <v>95</v>
      </c>
      <c r="E866" s="2" t="s">
        <v>233</v>
      </c>
      <c r="F866">
        <v>9</v>
      </c>
      <c r="G866" t="s">
        <v>20</v>
      </c>
      <c r="H866" s="2" t="s">
        <v>233</v>
      </c>
      <c r="I866">
        <v>4</v>
      </c>
      <c r="J866" t="str">
        <f>IF(Table1[[#This Row],[Resolution_Date]]="NA","Unresolved","Resolved")</f>
        <v>Resolved</v>
      </c>
      <c r="K866">
        <f>IF(Table1[[#This Row],[Resolution_Date]]="NA"," ",Table1[[#This Row],[Resolution_Date]]-Table1[[#This Row],[Complaint_Date]])</f>
        <v>0</v>
      </c>
      <c r="L866" t="str">
        <f>TEXT(Table1[[#This Row],[Complaint_Date]],"MMM")</f>
        <v>Apr</v>
      </c>
      <c r="M866" t="str">
        <f>IF(Table1[[#This Row],[Resolution_Time_Hours]]&lt;=24,"Fast",IF(Table1[[#This Row],[Resolution_Time_Hours]]&lt;=72,"Medium","Slow"))</f>
        <v>Fast</v>
      </c>
    </row>
    <row r="867" spans="1:13" x14ac:dyDescent="0.3">
      <c r="A867" t="s">
        <v>2106</v>
      </c>
      <c r="B867" t="s">
        <v>2107</v>
      </c>
      <c r="C867" t="s">
        <v>34</v>
      </c>
      <c r="D867" t="s">
        <v>38</v>
      </c>
      <c r="E867" s="2" t="s">
        <v>220</v>
      </c>
      <c r="F867">
        <v>39</v>
      </c>
      <c r="G867" t="s">
        <v>20</v>
      </c>
      <c r="H867" s="2" t="s">
        <v>756</v>
      </c>
      <c r="I867">
        <v>5</v>
      </c>
      <c r="J867" t="str">
        <f>IF(Table1[[#This Row],[Resolution_Date]]="NA","Unresolved","Resolved")</f>
        <v>Resolved</v>
      </c>
      <c r="K867">
        <f>IF(Table1[[#This Row],[Resolution_Date]]="NA"," ",Table1[[#This Row],[Resolution_Date]]-Table1[[#This Row],[Complaint_Date]])</f>
        <v>1</v>
      </c>
      <c r="L867" t="str">
        <f>TEXT(Table1[[#This Row],[Complaint_Date]],"MMM")</f>
        <v>Jul</v>
      </c>
      <c r="M867" t="str">
        <f>IF(Table1[[#This Row],[Resolution_Time_Hours]]&lt;=24,"Fast",IF(Table1[[#This Row],[Resolution_Time_Hours]]&lt;=72,"Medium","Slow"))</f>
        <v>Medium</v>
      </c>
    </row>
    <row r="868" spans="1:13" x14ac:dyDescent="0.3">
      <c r="A868" t="s">
        <v>2108</v>
      </c>
      <c r="B868" t="s">
        <v>2109</v>
      </c>
      <c r="C868" t="s">
        <v>70</v>
      </c>
      <c r="D868" t="s">
        <v>38</v>
      </c>
      <c r="E868" s="2" t="s">
        <v>849</v>
      </c>
      <c r="F868">
        <v>15</v>
      </c>
      <c r="G868" t="s">
        <v>40</v>
      </c>
      <c r="H868" s="2" t="s">
        <v>2820</v>
      </c>
      <c r="J868" t="str">
        <f>IF(Table1[[#This Row],[Resolution_Date]]="NA","Unresolved","Resolved")</f>
        <v>Unresolved</v>
      </c>
      <c r="K868" t="str">
        <f>IF(Table1[[#This Row],[Resolution_Date]]="NA"," ",Table1[[#This Row],[Resolution_Date]]-Table1[[#This Row],[Complaint_Date]])</f>
        <v xml:space="preserve"> </v>
      </c>
      <c r="L868" t="str">
        <f>TEXT(Table1[[#This Row],[Complaint_Date]],"MMM")</f>
        <v>Jun</v>
      </c>
      <c r="M868" t="str">
        <f>IF(Table1[[#This Row],[Resolution_Time_Hours]]&lt;=24,"Fast",IF(Table1[[#This Row],[Resolution_Time_Hours]]&lt;=72,"Medium","Slow"))</f>
        <v>Fast</v>
      </c>
    </row>
    <row r="869" spans="1:13" x14ac:dyDescent="0.3">
      <c r="A869" t="s">
        <v>2110</v>
      </c>
      <c r="B869" t="s">
        <v>2111</v>
      </c>
      <c r="C869" t="s">
        <v>110</v>
      </c>
      <c r="D869" t="s">
        <v>18</v>
      </c>
      <c r="E869" s="2" t="s">
        <v>63</v>
      </c>
      <c r="F869">
        <v>21</v>
      </c>
      <c r="G869" t="s">
        <v>14</v>
      </c>
      <c r="H869" s="2" t="s">
        <v>2820</v>
      </c>
      <c r="J869" t="str">
        <f>IF(Table1[[#This Row],[Resolution_Date]]="NA","Unresolved","Resolved")</f>
        <v>Unresolved</v>
      </c>
      <c r="K869" t="str">
        <f>IF(Table1[[#This Row],[Resolution_Date]]="NA"," ",Table1[[#This Row],[Resolution_Date]]-Table1[[#This Row],[Complaint_Date]])</f>
        <v xml:space="preserve"> </v>
      </c>
      <c r="L869" t="str">
        <f>TEXT(Table1[[#This Row],[Complaint_Date]],"MMM")</f>
        <v>Aug</v>
      </c>
      <c r="M869" t="str">
        <f>IF(Table1[[#This Row],[Resolution_Time_Hours]]&lt;=24,"Fast",IF(Table1[[#This Row],[Resolution_Time_Hours]]&lt;=72,"Medium","Slow"))</f>
        <v>Fast</v>
      </c>
    </row>
    <row r="870" spans="1:13" x14ac:dyDescent="0.3">
      <c r="A870" t="s">
        <v>2112</v>
      </c>
      <c r="B870" t="s">
        <v>2113</v>
      </c>
      <c r="C870" t="s">
        <v>70</v>
      </c>
      <c r="D870" t="s">
        <v>95</v>
      </c>
      <c r="E870" s="2" t="s">
        <v>493</v>
      </c>
      <c r="F870">
        <v>13</v>
      </c>
      <c r="G870" t="s">
        <v>20</v>
      </c>
      <c r="H870" s="2" t="s">
        <v>493</v>
      </c>
      <c r="I870">
        <v>3</v>
      </c>
      <c r="J870" t="str">
        <f>IF(Table1[[#This Row],[Resolution_Date]]="NA","Unresolved","Resolved")</f>
        <v>Resolved</v>
      </c>
      <c r="K870">
        <f>IF(Table1[[#This Row],[Resolution_Date]]="NA"," ",Table1[[#This Row],[Resolution_Date]]-Table1[[#This Row],[Complaint_Date]])</f>
        <v>0</v>
      </c>
      <c r="L870" t="str">
        <f>TEXT(Table1[[#This Row],[Complaint_Date]],"MMM")</f>
        <v>Oct</v>
      </c>
      <c r="M870" t="str">
        <f>IF(Table1[[#This Row],[Resolution_Time_Hours]]&lt;=24,"Fast",IF(Table1[[#This Row],[Resolution_Time_Hours]]&lt;=72,"Medium","Slow"))</f>
        <v>Fast</v>
      </c>
    </row>
    <row r="871" spans="1:13" x14ac:dyDescent="0.3">
      <c r="A871" t="s">
        <v>2114</v>
      </c>
      <c r="B871" t="s">
        <v>2115</v>
      </c>
      <c r="C871" t="s">
        <v>11</v>
      </c>
      <c r="D871" t="s">
        <v>12</v>
      </c>
      <c r="E871" s="2" t="s">
        <v>54</v>
      </c>
      <c r="F871">
        <v>30</v>
      </c>
      <c r="G871" t="s">
        <v>20</v>
      </c>
      <c r="H871" s="2" t="s">
        <v>525</v>
      </c>
      <c r="I871">
        <v>2</v>
      </c>
      <c r="J871" t="str">
        <f>IF(Table1[[#This Row],[Resolution_Date]]="NA","Unresolved","Resolved")</f>
        <v>Resolved</v>
      </c>
      <c r="K871">
        <f>IF(Table1[[#This Row],[Resolution_Date]]="NA"," ",Table1[[#This Row],[Resolution_Date]]-Table1[[#This Row],[Complaint_Date]])</f>
        <v>1</v>
      </c>
      <c r="L871" t="str">
        <f>TEXT(Table1[[#This Row],[Complaint_Date]],"MMM")</f>
        <v>Mar</v>
      </c>
      <c r="M871" t="str">
        <f>IF(Table1[[#This Row],[Resolution_Time_Hours]]&lt;=24,"Fast",IF(Table1[[#This Row],[Resolution_Time_Hours]]&lt;=72,"Medium","Slow"))</f>
        <v>Medium</v>
      </c>
    </row>
    <row r="872" spans="1:13" x14ac:dyDescent="0.3">
      <c r="A872" t="s">
        <v>2116</v>
      </c>
      <c r="B872" t="s">
        <v>2117</v>
      </c>
      <c r="C872" t="s">
        <v>70</v>
      </c>
      <c r="D872" t="s">
        <v>27</v>
      </c>
      <c r="E872" s="2" t="s">
        <v>1239</v>
      </c>
      <c r="F872">
        <v>3</v>
      </c>
      <c r="G872" t="s">
        <v>20</v>
      </c>
      <c r="H872" s="2" t="s">
        <v>1239</v>
      </c>
      <c r="I872">
        <v>5</v>
      </c>
      <c r="J872" t="str">
        <f>IF(Table1[[#This Row],[Resolution_Date]]="NA","Unresolved","Resolved")</f>
        <v>Resolved</v>
      </c>
      <c r="K872">
        <f>IF(Table1[[#This Row],[Resolution_Date]]="NA"," ",Table1[[#This Row],[Resolution_Date]]-Table1[[#This Row],[Complaint_Date]])</f>
        <v>0</v>
      </c>
      <c r="L872" t="str">
        <f>TEXT(Table1[[#This Row],[Complaint_Date]],"MMM")</f>
        <v>Jan</v>
      </c>
      <c r="M872" t="str">
        <f>IF(Table1[[#This Row],[Resolution_Time_Hours]]&lt;=24,"Fast",IF(Table1[[#This Row],[Resolution_Time_Hours]]&lt;=72,"Medium","Slow"))</f>
        <v>Fast</v>
      </c>
    </row>
    <row r="873" spans="1:13" x14ac:dyDescent="0.3">
      <c r="A873" t="s">
        <v>2118</v>
      </c>
      <c r="B873" t="s">
        <v>2119</v>
      </c>
      <c r="C873" t="s">
        <v>70</v>
      </c>
      <c r="D873" t="s">
        <v>27</v>
      </c>
      <c r="E873" s="2" t="s">
        <v>264</v>
      </c>
      <c r="F873">
        <v>18</v>
      </c>
      <c r="G873" t="s">
        <v>20</v>
      </c>
      <c r="H873" s="2" t="s">
        <v>264</v>
      </c>
      <c r="I873">
        <v>3</v>
      </c>
      <c r="J873" t="str">
        <f>IF(Table1[[#This Row],[Resolution_Date]]="NA","Unresolved","Resolved")</f>
        <v>Resolved</v>
      </c>
      <c r="K873">
        <f>IF(Table1[[#This Row],[Resolution_Date]]="NA"," ",Table1[[#This Row],[Resolution_Date]]-Table1[[#This Row],[Complaint_Date]])</f>
        <v>0</v>
      </c>
      <c r="L873" t="str">
        <f>TEXT(Table1[[#This Row],[Complaint_Date]],"MMM")</f>
        <v>May</v>
      </c>
      <c r="M873" t="str">
        <f>IF(Table1[[#This Row],[Resolution_Time_Hours]]&lt;=24,"Fast",IF(Table1[[#This Row],[Resolution_Time_Hours]]&lt;=72,"Medium","Slow"))</f>
        <v>Fast</v>
      </c>
    </row>
    <row r="874" spans="1:13" x14ac:dyDescent="0.3">
      <c r="A874" t="s">
        <v>2120</v>
      </c>
      <c r="B874" t="s">
        <v>2121</v>
      </c>
      <c r="C874" t="s">
        <v>110</v>
      </c>
      <c r="D874" t="s">
        <v>38</v>
      </c>
      <c r="E874" s="2" t="s">
        <v>1405</v>
      </c>
      <c r="F874">
        <v>10</v>
      </c>
      <c r="G874" t="s">
        <v>20</v>
      </c>
      <c r="H874" s="2" t="s">
        <v>1405</v>
      </c>
      <c r="I874">
        <v>4</v>
      </c>
      <c r="J874" t="str">
        <f>IF(Table1[[#This Row],[Resolution_Date]]="NA","Unresolved","Resolved")</f>
        <v>Resolved</v>
      </c>
      <c r="K874">
        <f>IF(Table1[[#This Row],[Resolution_Date]]="NA"," ",Table1[[#This Row],[Resolution_Date]]-Table1[[#This Row],[Complaint_Date]])</f>
        <v>0</v>
      </c>
      <c r="L874" t="str">
        <f>TEXT(Table1[[#This Row],[Complaint_Date]],"MMM")</f>
        <v>Feb</v>
      </c>
      <c r="M874" t="str">
        <f>IF(Table1[[#This Row],[Resolution_Time_Hours]]&lt;=24,"Fast",IF(Table1[[#This Row],[Resolution_Time_Hours]]&lt;=72,"Medium","Slow"))</f>
        <v>Fast</v>
      </c>
    </row>
    <row r="875" spans="1:13" x14ac:dyDescent="0.3">
      <c r="A875" t="s">
        <v>2122</v>
      </c>
      <c r="B875" t="s">
        <v>2123</v>
      </c>
      <c r="C875" t="s">
        <v>11</v>
      </c>
      <c r="D875" t="s">
        <v>95</v>
      </c>
      <c r="E875" s="2" t="s">
        <v>1109</v>
      </c>
      <c r="F875">
        <v>33</v>
      </c>
      <c r="G875" t="s">
        <v>20</v>
      </c>
      <c r="H875" s="2" t="s">
        <v>1732</v>
      </c>
      <c r="I875">
        <v>5</v>
      </c>
      <c r="J875" t="str">
        <f>IF(Table1[[#This Row],[Resolution_Date]]="NA","Unresolved","Resolved")</f>
        <v>Resolved</v>
      </c>
      <c r="K875">
        <f>IF(Table1[[#This Row],[Resolution_Date]]="NA"," ",Table1[[#This Row],[Resolution_Date]]-Table1[[#This Row],[Complaint_Date]])</f>
        <v>1</v>
      </c>
      <c r="L875" t="str">
        <f>TEXT(Table1[[#This Row],[Complaint_Date]],"MMM")</f>
        <v>Sep</v>
      </c>
      <c r="M875" t="str">
        <f>IF(Table1[[#This Row],[Resolution_Time_Hours]]&lt;=24,"Fast",IF(Table1[[#This Row],[Resolution_Time_Hours]]&lt;=72,"Medium","Slow"))</f>
        <v>Medium</v>
      </c>
    </row>
    <row r="876" spans="1:13" x14ac:dyDescent="0.3">
      <c r="A876" t="s">
        <v>2124</v>
      </c>
      <c r="B876" t="s">
        <v>2125</v>
      </c>
      <c r="C876" t="s">
        <v>48</v>
      </c>
      <c r="D876" t="s">
        <v>27</v>
      </c>
      <c r="E876" s="2" t="s">
        <v>13</v>
      </c>
      <c r="F876">
        <v>26</v>
      </c>
      <c r="G876" t="s">
        <v>40</v>
      </c>
      <c r="H876" s="2" t="s">
        <v>2820</v>
      </c>
      <c r="J876" t="str">
        <f>IF(Table1[[#This Row],[Resolution_Date]]="NA","Unresolved","Resolved")</f>
        <v>Unresolved</v>
      </c>
      <c r="K876" t="str">
        <f>IF(Table1[[#This Row],[Resolution_Date]]="NA"," ",Table1[[#This Row],[Resolution_Date]]-Table1[[#This Row],[Complaint_Date]])</f>
        <v xml:space="preserve"> </v>
      </c>
      <c r="L876" t="str">
        <f>TEXT(Table1[[#This Row],[Complaint_Date]],"MMM")</f>
        <v>Oct</v>
      </c>
      <c r="M876" t="str">
        <f>IF(Table1[[#This Row],[Resolution_Time_Hours]]&lt;=24,"Fast",IF(Table1[[#This Row],[Resolution_Time_Hours]]&lt;=72,"Medium","Slow"))</f>
        <v>Medium</v>
      </c>
    </row>
    <row r="877" spans="1:13" x14ac:dyDescent="0.3">
      <c r="A877" t="s">
        <v>2126</v>
      </c>
      <c r="B877" t="s">
        <v>2127</v>
      </c>
      <c r="C877" t="s">
        <v>53</v>
      </c>
      <c r="D877" t="s">
        <v>27</v>
      </c>
      <c r="E877" s="2" t="s">
        <v>543</v>
      </c>
      <c r="F877">
        <v>7</v>
      </c>
      <c r="G877" t="s">
        <v>20</v>
      </c>
      <c r="H877" s="2" t="s">
        <v>543</v>
      </c>
      <c r="I877">
        <v>4</v>
      </c>
      <c r="J877" t="str">
        <f>IF(Table1[[#This Row],[Resolution_Date]]="NA","Unresolved","Resolved")</f>
        <v>Resolved</v>
      </c>
      <c r="K877">
        <f>IF(Table1[[#This Row],[Resolution_Date]]="NA"," ",Table1[[#This Row],[Resolution_Date]]-Table1[[#This Row],[Complaint_Date]])</f>
        <v>0</v>
      </c>
      <c r="L877" t="str">
        <f>TEXT(Table1[[#This Row],[Complaint_Date]],"MMM")</f>
        <v>Nov</v>
      </c>
      <c r="M877" t="str">
        <f>IF(Table1[[#This Row],[Resolution_Time_Hours]]&lt;=24,"Fast",IF(Table1[[#This Row],[Resolution_Time_Hours]]&lt;=72,"Medium","Slow"))</f>
        <v>Fast</v>
      </c>
    </row>
    <row r="878" spans="1:13" x14ac:dyDescent="0.3">
      <c r="A878" t="s">
        <v>2128</v>
      </c>
      <c r="B878" t="s">
        <v>2129</v>
      </c>
      <c r="C878" t="s">
        <v>11</v>
      </c>
      <c r="D878" t="s">
        <v>12</v>
      </c>
      <c r="E878" s="2" t="s">
        <v>1265</v>
      </c>
      <c r="F878">
        <v>12</v>
      </c>
      <c r="G878" t="s">
        <v>20</v>
      </c>
      <c r="H878" s="2" t="s">
        <v>1265</v>
      </c>
      <c r="I878">
        <v>4</v>
      </c>
      <c r="J878" t="str">
        <f>IF(Table1[[#This Row],[Resolution_Date]]="NA","Unresolved","Resolved")</f>
        <v>Resolved</v>
      </c>
      <c r="K878">
        <f>IF(Table1[[#This Row],[Resolution_Date]]="NA"," ",Table1[[#This Row],[Resolution_Date]]-Table1[[#This Row],[Complaint_Date]])</f>
        <v>0</v>
      </c>
      <c r="L878" t="str">
        <f>TEXT(Table1[[#This Row],[Complaint_Date]],"MMM")</f>
        <v>Sep</v>
      </c>
      <c r="M878" t="str">
        <f>IF(Table1[[#This Row],[Resolution_Time_Hours]]&lt;=24,"Fast",IF(Table1[[#This Row],[Resolution_Time_Hours]]&lt;=72,"Medium","Slow"))</f>
        <v>Fast</v>
      </c>
    </row>
    <row r="879" spans="1:13" x14ac:dyDescent="0.3">
      <c r="A879" t="s">
        <v>2130</v>
      </c>
      <c r="B879" t="s">
        <v>2131</v>
      </c>
      <c r="C879" t="s">
        <v>11</v>
      </c>
      <c r="D879" t="s">
        <v>95</v>
      </c>
      <c r="E879" s="2" t="s">
        <v>250</v>
      </c>
      <c r="F879">
        <v>6</v>
      </c>
      <c r="G879" t="s">
        <v>40</v>
      </c>
      <c r="H879" s="2" t="s">
        <v>2820</v>
      </c>
      <c r="J879" t="str">
        <f>IF(Table1[[#This Row],[Resolution_Date]]="NA","Unresolved","Resolved")</f>
        <v>Unresolved</v>
      </c>
      <c r="K879" t="str">
        <f>IF(Table1[[#This Row],[Resolution_Date]]="NA"," ",Table1[[#This Row],[Resolution_Date]]-Table1[[#This Row],[Complaint_Date]])</f>
        <v xml:space="preserve"> </v>
      </c>
      <c r="L879" t="str">
        <f>TEXT(Table1[[#This Row],[Complaint_Date]],"MMM")</f>
        <v>Feb</v>
      </c>
      <c r="M879" t="str">
        <f>IF(Table1[[#This Row],[Resolution_Time_Hours]]&lt;=24,"Fast",IF(Table1[[#This Row],[Resolution_Time_Hours]]&lt;=72,"Medium","Slow"))</f>
        <v>Fast</v>
      </c>
    </row>
    <row r="880" spans="1:13" x14ac:dyDescent="0.3">
      <c r="A880" t="s">
        <v>2132</v>
      </c>
      <c r="B880" t="s">
        <v>2133</v>
      </c>
      <c r="C880" t="s">
        <v>110</v>
      </c>
      <c r="D880" t="s">
        <v>12</v>
      </c>
      <c r="E880" s="2" t="s">
        <v>1287</v>
      </c>
      <c r="F880">
        <v>14</v>
      </c>
      <c r="G880" t="s">
        <v>20</v>
      </c>
      <c r="H880" s="2" t="s">
        <v>1287</v>
      </c>
      <c r="I880">
        <v>3</v>
      </c>
      <c r="J880" t="str">
        <f>IF(Table1[[#This Row],[Resolution_Date]]="NA","Unresolved","Resolved")</f>
        <v>Resolved</v>
      </c>
      <c r="K880">
        <f>IF(Table1[[#This Row],[Resolution_Date]]="NA"," ",Table1[[#This Row],[Resolution_Date]]-Table1[[#This Row],[Complaint_Date]])</f>
        <v>0</v>
      </c>
      <c r="L880" t="str">
        <f>TEXT(Table1[[#This Row],[Complaint_Date]],"MMM")</f>
        <v>Nov</v>
      </c>
      <c r="M880" t="str">
        <f>IF(Table1[[#This Row],[Resolution_Time_Hours]]&lt;=24,"Fast",IF(Table1[[#This Row],[Resolution_Time_Hours]]&lt;=72,"Medium","Slow"))</f>
        <v>Fast</v>
      </c>
    </row>
    <row r="881" spans="1:13" x14ac:dyDescent="0.3">
      <c r="A881" t="s">
        <v>2134</v>
      </c>
      <c r="B881" t="s">
        <v>2135</v>
      </c>
      <c r="C881" t="s">
        <v>11</v>
      </c>
      <c r="D881" t="s">
        <v>27</v>
      </c>
      <c r="E881" s="2" t="s">
        <v>671</v>
      </c>
      <c r="F881">
        <v>32</v>
      </c>
      <c r="G881" t="s">
        <v>14</v>
      </c>
      <c r="H881" s="2" t="s">
        <v>2820</v>
      </c>
      <c r="J881" t="str">
        <f>IF(Table1[[#This Row],[Resolution_Date]]="NA","Unresolved","Resolved")</f>
        <v>Unresolved</v>
      </c>
      <c r="K881" t="str">
        <f>IF(Table1[[#This Row],[Resolution_Date]]="NA"," ",Table1[[#This Row],[Resolution_Date]]-Table1[[#This Row],[Complaint_Date]])</f>
        <v xml:space="preserve"> </v>
      </c>
      <c r="L881" t="str">
        <f>TEXT(Table1[[#This Row],[Complaint_Date]],"MMM")</f>
        <v>Aug</v>
      </c>
      <c r="M881" t="str">
        <f>IF(Table1[[#This Row],[Resolution_Time_Hours]]&lt;=24,"Fast",IF(Table1[[#This Row],[Resolution_Time_Hours]]&lt;=72,"Medium","Slow"))</f>
        <v>Medium</v>
      </c>
    </row>
    <row r="882" spans="1:13" x14ac:dyDescent="0.3">
      <c r="A882" t="s">
        <v>2136</v>
      </c>
      <c r="B882" t="s">
        <v>2137</v>
      </c>
      <c r="C882" t="s">
        <v>11</v>
      </c>
      <c r="D882" t="s">
        <v>12</v>
      </c>
      <c r="E882" s="2" t="s">
        <v>657</v>
      </c>
      <c r="F882">
        <v>38</v>
      </c>
      <c r="G882" t="s">
        <v>14</v>
      </c>
      <c r="H882" s="2" t="s">
        <v>2820</v>
      </c>
      <c r="J882" t="str">
        <f>IF(Table1[[#This Row],[Resolution_Date]]="NA","Unresolved","Resolved")</f>
        <v>Unresolved</v>
      </c>
      <c r="K882" t="str">
        <f>IF(Table1[[#This Row],[Resolution_Date]]="NA"," ",Table1[[#This Row],[Resolution_Date]]-Table1[[#This Row],[Complaint_Date]])</f>
        <v xml:space="preserve"> </v>
      </c>
      <c r="L882" t="str">
        <f>TEXT(Table1[[#This Row],[Complaint_Date]],"MMM")</f>
        <v>Jul</v>
      </c>
      <c r="M882" t="str">
        <f>IF(Table1[[#This Row],[Resolution_Time_Hours]]&lt;=24,"Fast",IF(Table1[[#This Row],[Resolution_Time_Hours]]&lt;=72,"Medium","Slow"))</f>
        <v>Medium</v>
      </c>
    </row>
    <row r="883" spans="1:13" x14ac:dyDescent="0.3">
      <c r="A883" t="s">
        <v>2138</v>
      </c>
      <c r="B883" t="s">
        <v>2139</v>
      </c>
      <c r="C883" t="s">
        <v>34</v>
      </c>
      <c r="D883" t="s">
        <v>12</v>
      </c>
      <c r="E883" s="2" t="s">
        <v>120</v>
      </c>
      <c r="F883">
        <v>88</v>
      </c>
      <c r="G883" t="s">
        <v>20</v>
      </c>
      <c r="H883" s="2" t="s">
        <v>121</v>
      </c>
      <c r="I883">
        <v>5</v>
      </c>
      <c r="J883" t="str">
        <f>IF(Table1[[#This Row],[Resolution_Date]]="NA","Unresolved","Resolved")</f>
        <v>Resolved</v>
      </c>
      <c r="K883">
        <f>IF(Table1[[#This Row],[Resolution_Date]]="NA"," ",Table1[[#This Row],[Resolution_Date]]-Table1[[#This Row],[Complaint_Date]])</f>
        <v>3</v>
      </c>
      <c r="L883" t="str">
        <f>TEXT(Table1[[#This Row],[Complaint_Date]],"MMM")</f>
        <v>Jul</v>
      </c>
      <c r="M883" t="str">
        <f>IF(Table1[[#This Row],[Resolution_Time_Hours]]&lt;=24,"Fast",IF(Table1[[#This Row],[Resolution_Time_Hours]]&lt;=72,"Medium","Slow"))</f>
        <v>Slow</v>
      </c>
    </row>
    <row r="884" spans="1:13" x14ac:dyDescent="0.3">
      <c r="A884" t="s">
        <v>2140</v>
      </c>
      <c r="B884" t="s">
        <v>2141</v>
      </c>
      <c r="C884" t="s">
        <v>70</v>
      </c>
      <c r="D884" t="s">
        <v>18</v>
      </c>
      <c r="E884" s="2" t="s">
        <v>663</v>
      </c>
      <c r="F884">
        <v>20</v>
      </c>
      <c r="G884" t="s">
        <v>14</v>
      </c>
      <c r="H884" s="2" t="s">
        <v>2820</v>
      </c>
      <c r="J884" t="str">
        <f>IF(Table1[[#This Row],[Resolution_Date]]="NA","Unresolved","Resolved")</f>
        <v>Unresolved</v>
      </c>
      <c r="K884" t="str">
        <f>IF(Table1[[#This Row],[Resolution_Date]]="NA"," ",Table1[[#This Row],[Resolution_Date]]-Table1[[#This Row],[Complaint_Date]])</f>
        <v xml:space="preserve"> </v>
      </c>
      <c r="L884" t="str">
        <f>TEXT(Table1[[#This Row],[Complaint_Date]],"MMM")</f>
        <v>Nov</v>
      </c>
      <c r="M884" t="str">
        <f>IF(Table1[[#This Row],[Resolution_Time_Hours]]&lt;=24,"Fast",IF(Table1[[#This Row],[Resolution_Time_Hours]]&lt;=72,"Medium","Slow"))</f>
        <v>Fast</v>
      </c>
    </row>
    <row r="885" spans="1:13" x14ac:dyDescent="0.3">
      <c r="A885" t="s">
        <v>2142</v>
      </c>
      <c r="B885" t="s">
        <v>2143</v>
      </c>
      <c r="C885" t="s">
        <v>17</v>
      </c>
      <c r="D885" t="s">
        <v>18</v>
      </c>
      <c r="E885" s="2" t="s">
        <v>998</v>
      </c>
      <c r="F885">
        <v>31</v>
      </c>
      <c r="G885" t="s">
        <v>40</v>
      </c>
      <c r="H885" s="2" t="s">
        <v>2820</v>
      </c>
      <c r="J885" t="str">
        <f>IF(Table1[[#This Row],[Resolution_Date]]="NA","Unresolved","Resolved")</f>
        <v>Unresolved</v>
      </c>
      <c r="K885" t="str">
        <f>IF(Table1[[#This Row],[Resolution_Date]]="NA"," ",Table1[[#This Row],[Resolution_Date]]-Table1[[#This Row],[Complaint_Date]])</f>
        <v xml:space="preserve"> </v>
      </c>
      <c r="L885" t="str">
        <f>TEXT(Table1[[#This Row],[Complaint_Date]],"MMM")</f>
        <v>Jan</v>
      </c>
      <c r="M885" t="str">
        <f>IF(Table1[[#This Row],[Resolution_Time_Hours]]&lt;=24,"Fast",IF(Table1[[#This Row],[Resolution_Time_Hours]]&lt;=72,"Medium","Slow"))</f>
        <v>Medium</v>
      </c>
    </row>
    <row r="886" spans="1:13" x14ac:dyDescent="0.3">
      <c r="A886" t="s">
        <v>2144</v>
      </c>
      <c r="B886" t="s">
        <v>2145</v>
      </c>
      <c r="C886" t="s">
        <v>70</v>
      </c>
      <c r="D886" t="s">
        <v>12</v>
      </c>
      <c r="E886" s="2" t="s">
        <v>107</v>
      </c>
      <c r="F886">
        <v>17</v>
      </c>
      <c r="G886" t="s">
        <v>40</v>
      </c>
      <c r="H886" s="2" t="s">
        <v>2820</v>
      </c>
      <c r="J886" t="str">
        <f>IF(Table1[[#This Row],[Resolution_Date]]="NA","Unresolved","Resolved")</f>
        <v>Unresolved</v>
      </c>
      <c r="K886" t="str">
        <f>IF(Table1[[#This Row],[Resolution_Date]]="NA"," ",Table1[[#This Row],[Resolution_Date]]-Table1[[#This Row],[Complaint_Date]])</f>
        <v xml:space="preserve"> </v>
      </c>
      <c r="L886" t="str">
        <f>TEXT(Table1[[#This Row],[Complaint_Date]],"MMM")</f>
        <v>Sep</v>
      </c>
      <c r="M886" t="str">
        <f>IF(Table1[[#This Row],[Resolution_Time_Hours]]&lt;=24,"Fast",IF(Table1[[#This Row],[Resolution_Time_Hours]]&lt;=72,"Medium","Slow"))</f>
        <v>Fast</v>
      </c>
    </row>
    <row r="887" spans="1:13" x14ac:dyDescent="0.3">
      <c r="A887" t="s">
        <v>2146</v>
      </c>
      <c r="B887" t="s">
        <v>2147</v>
      </c>
      <c r="C887" t="s">
        <v>43</v>
      </c>
      <c r="D887" t="s">
        <v>95</v>
      </c>
      <c r="E887" s="2" t="s">
        <v>1501</v>
      </c>
      <c r="F887">
        <v>58</v>
      </c>
      <c r="G887" t="s">
        <v>20</v>
      </c>
      <c r="H887" s="2" t="s">
        <v>2148</v>
      </c>
      <c r="I887">
        <v>1</v>
      </c>
      <c r="J887" t="str">
        <f>IF(Table1[[#This Row],[Resolution_Date]]="NA","Unresolved","Resolved")</f>
        <v>Resolved</v>
      </c>
      <c r="K887">
        <f>IF(Table1[[#This Row],[Resolution_Date]]="NA"," ",Table1[[#This Row],[Resolution_Date]]-Table1[[#This Row],[Complaint_Date]])</f>
        <v>2</v>
      </c>
      <c r="L887" t="str">
        <f>TEXT(Table1[[#This Row],[Complaint_Date]],"MMM")</f>
        <v>Oct</v>
      </c>
      <c r="M887" t="str">
        <f>IF(Table1[[#This Row],[Resolution_Time_Hours]]&lt;=24,"Fast",IF(Table1[[#This Row],[Resolution_Time_Hours]]&lt;=72,"Medium","Slow"))</f>
        <v>Medium</v>
      </c>
    </row>
    <row r="888" spans="1:13" x14ac:dyDescent="0.3">
      <c r="A888" t="s">
        <v>2149</v>
      </c>
      <c r="B888" t="s">
        <v>2150</v>
      </c>
      <c r="C888" t="s">
        <v>48</v>
      </c>
      <c r="D888" t="s">
        <v>12</v>
      </c>
      <c r="E888" s="2" t="s">
        <v>493</v>
      </c>
      <c r="F888">
        <v>62</v>
      </c>
      <c r="G888" t="s">
        <v>20</v>
      </c>
      <c r="H888" s="2" t="s">
        <v>293</v>
      </c>
      <c r="I888">
        <v>1</v>
      </c>
      <c r="J888" t="str">
        <f>IF(Table1[[#This Row],[Resolution_Date]]="NA","Unresolved","Resolved")</f>
        <v>Resolved</v>
      </c>
      <c r="K888">
        <f>IF(Table1[[#This Row],[Resolution_Date]]="NA"," ",Table1[[#This Row],[Resolution_Date]]-Table1[[#This Row],[Complaint_Date]])</f>
        <v>2</v>
      </c>
      <c r="L888" t="str">
        <f>TEXT(Table1[[#This Row],[Complaint_Date]],"MMM")</f>
        <v>Oct</v>
      </c>
      <c r="M888" t="str">
        <f>IF(Table1[[#This Row],[Resolution_Time_Hours]]&lt;=24,"Fast",IF(Table1[[#This Row],[Resolution_Time_Hours]]&lt;=72,"Medium","Slow"))</f>
        <v>Medium</v>
      </c>
    </row>
    <row r="889" spans="1:13" x14ac:dyDescent="0.3">
      <c r="A889" t="s">
        <v>2151</v>
      </c>
      <c r="B889" t="s">
        <v>2152</v>
      </c>
      <c r="C889" t="s">
        <v>11</v>
      </c>
      <c r="D889" t="s">
        <v>38</v>
      </c>
      <c r="E889" s="2" t="s">
        <v>120</v>
      </c>
      <c r="F889">
        <v>39</v>
      </c>
      <c r="G889" t="s">
        <v>20</v>
      </c>
      <c r="H889" s="2" t="s">
        <v>1017</v>
      </c>
      <c r="I889">
        <v>5</v>
      </c>
      <c r="J889" t="str">
        <f>IF(Table1[[#This Row],[Resolution_Date]]="NA","Unresolved","Resolved")</f>
        <v>Resolved</v>
      </c>
      <c r="K889">
        <f>IF(Table1[[#This Row],[Resolution_Date]]="NA"," ",Table1[[#This Row],[Resolution_Date]]-Table1[[#This Row],[Complaint_Date]])</f>
        <v>1</v>
      </c>
      <c r="L889" t="str">
        <f>TEXT(Table1[[#This Row],[Complaint_Date]],"MMM")</f>
        <v>Jul</v>
      </c>
      <c r="M889" t="str">
        <f>IF(Table1[[#This Row],[Resolution_Time_Hours]]&lt;=24,"Fast",IF(Table1[[#This Row],[Resolution_Time_Hours]]&lt;=72,"Medium","Slow"))</f>
        <v>Medium</v>
      </c>
    </row>
    <row r="890" spans="1:13" x14ac:dyDescent="0.3">
      <c r="A890" t="s">
        <v>2153</v>
      </c>
      <c r="B890" t="s">
        <v>2154</v>
      </c>
      <c r="C890" t="s">
        <v>17</v>
      </c>
      <c r="D890" t="s">
        <v>27</v>
      </c>
      <c r="E890" s="2" t="s">
        <v>452</v>
      </c>
      <c r="F890">
        <v>32</v>
      </c>
      <c r="G890" t="s">
        <v>20</v>
      </c>
      <c r="H890" s="2" t="s">
        <v>893</v>
      </c>
      <c r="I890">
        <v>5</v>
      </c>
      <c r="J890" t="str">
        <f>IF(Table1[[#This Row],[Resolution_Date]]="NA","Unresolved","Resolved")</f>
        <v>Resolved</v>
      </c>
      <c r="K890">
        <f>IF(Table1[[#This Row],[Resolution_Date]]="NA"," ",Table1[[#This Row],[Resolution_Date]]-Table1[[#This Row],[Complaint_Date]])</f>
        <v>1</v>
      </c>
      <c r="L890" t="str">
        <f>TEXT(Table1[[#This Row],[Complaint_Date]],"MMM")</f>
        <v>Dec</v>
      </c>
      <c r="M890" t="str">
        <f>IF(Table1[[#This Row],[Resolution_Time_Hours]]&lt;=24,"Fast",IF(Table1[[#This Row],[Resolution_Time_Hours]]&lt;=72,"Medium","Slow"))</f>
        <v>Medium</v>
      </c>
    </row>
    <row r="891" spans="1:13" x14ac:dyDescent="0.3">
      <c r="A891" t="s">
        <v>2155</v>
      </c>
      <c r="B891" t="s">
        <v>2156</v>
      </c>
      <c r="C891" t="s">
        <v>70</v>
      </c>
      <c r="D891" t="s">
        <v>12</v>
      </c>
      <c r="E891" s="2" t="s">
        <v>2000</v>
      </c>
      <c r="F891">
        <v>16</v>
      </c>
      <c r="G891" t="s">
        <v>20</v>
      </c>
      <c r="H891" s="2" t="s">
        <v>2000</v>
      </c>
      <c r="I891">
        <v>3</v>
      </c>
      <c r="J891" t="str">
        <f>IF(Table1[[#This Row],[Resolution_Date]]="NA","Unresolved","Resolved")</f>
        <v>Resolved</v>
      </c>
      <c r="K891">
        <f>IF(Table1[[#This Row],[Resolution_Date]]="NA"," ",Table1[[#This Row],[Resolution_Date]]-Table1[[#This Row],[Complaint_Date]])</f>
        <v>0</v>
      </c>
      <c r="L891" t="str">
        <f>TEXT(Table1[[#This Row],[Complaint_Date]],"MMM")</f>
        <v>Jun</v>
      </c>
      <c r="M891" t="str">
        <f>IF(Table1[[#This Row],[Resolution_Time_Hours]]&lt;=24,"Fast",IF(Table1[[#This Row],[Resolution_Time_Hours]]&lt;=72,"Medium","Slow"))</f>
        <v>Fast</v>
      </c>
    </row>
    <row r="892" spans="1:13" x14ac:dyDescent="0.3">
      <c r="A892" t="s">
        <v>2157</v>
      </c>
      <c r="B892" t="s">
        <v>2158</v>
      </c>
      <c r="C892" t="s">
        <v>34</v>
      </c>
      <c r="D892" t="s">
        <v>95</v>
      </c>
      <c r="E892" s="2" t="s">
        <v>428</v>
      </c>
      <c r="F892">
        <v>27</v>
      </c>
      <c r="G892" t="s">
        <v>20</v>
      </c>
      <c r="H892" s="2" t="s">
        <v>180</v>
      </c>
      <c r="I892">
        <v>2</v>
      </c>
      <c r="J892" t="str">
        <f>IF(Table1[[#This Row],[Resolution_Date]]="NA","Unresolved","Resolved")</f>
        <v>Resolved</v>
      </c>
      <c r="K892">
        <f>IF(Table1[[#This Row],[Resolution_Date]]="NA"," ",Table1[[#This Row],[Resolution_Date]]-Table1[[#This Row],[Complaint_Date]])</f>
        <v>1</v>
      </c>
      <c r="L892" t="str">
        <f>TEXT(Table1[[#This Row],[Complaint_Date]],"MMM")</f>
        <v>Apr</v>
      </c>
      <c r="M892" t="str">
        <f>IF(Table1[[#This Row],[Resolution_Time_Hours]]&lt;=24,"Fast",IF(Table1[[#This Row],[Resolution_Time_Hours]]&lt;=72,"Medium","Slow"))</f>
        <v>Medium</v>
      </c>
    </row>
    <row r="893" spans="1:13" x14ac:dyDescent="0.3">
      <c r="A893" t="s">
        <v>2159</v>
      </c>
      <c r="B893" t="s">
        <v>2160</v>
      </c>
      <c r="C893" t="s">
        <v>53</v>
      </c>
      <c r="D893" t="s">
        <v>27</v>
      </c>
      <c r="E893" s="2" t="s">
        <v>143</v>
      </c>
      <c r="F893">
        <v>10</v>
      </c>
      <c r="G893" t="s">
        <v>20</v>
      </c>
      <c r="H893" s="2" t="s">
        <v>143</v>
      </c>
      <c r="I893">
        <v>4</v>
      </c>
      <c r="J893" t="str">
        <f>IF(Table1[[#This Row],[Resolution_Date]]="NA","Unresolved","Resolved")</f>
        <v>Resolved</v>
      </c>
      <c r="K893">
        <f>IF(Table1[[#This Row],[Resolution_Date]]="NA"," ",Table1[[#This Row],[Resolution_Date]]-Table1[[#This Row],[Complaint_Date]])</f>
        <v>0</v>
      </c>
      <c r="L893" t="str">
        <f>TEXT(Table1[[#This Row],[Complaint_Date]],"MMM")</f>
        <v>Jan</v>
      </c>
      <c r="M893" t="str">
        <f>IF(Table1[[#This Row],[Resolution_Time_Hours]]&lt;=24,"Fast",IF(Table1[[#This Row],[Resolution_Time_Hours]]&lt;=72,"Medium","Slow"))</f>
        <v>Fast</v>
      </c>
    </row>
    <row r="894" spans="1:13" x14ac:dyDescent="0.3">
      <c r="A894" t="s">
        <v>2161</v>
      </c>
      <c r="B894" t="s">
        <v>2162</v>
      </c>
      <c r="C894" t="s">
        <v>110</v>
      </c>
      <c r="D894" t="s">
        <v>95</v>
      </c>
      <c r="E894" s="2" t="s">
        <v>520</v>
      </c>
      <c r="F894">
        <v>18</v>
      </c>
      <c r="G894" t="s">
        <v>20</v>
      </c>
      <c r="H894" s="2" t="s">
        <v>520</v>
      </c>
      <c r="I894">
        <v>3</v>
      </c>
      <c r="J894" t="str">
        <f>IF(Table1[[#This Row],[Resolution_Date]]="NA","Unresolved","Resolved")</f>
        <v>Resolved</v>
      </c>
      <c r="K894">
        <f>IF(Table1[[#This Row],[Resolution_Date]]="NA"," ",Table1[[#This Row],[Resolution_Date]]-Table1[[#This Row],[Complaint_Date]])</f>
        <v>0</v>
      </c>
      <c r="L894" t="str">
        <f>TEXT(Table1[[#This Row],[Complaint_Date]],"MMM")</f>
        <v>Feb</v>
      </c>
      <c r="M894" t="str">
        <f>IF(Table1[[#This Row],[Resolution_Time_Hours]]&lt;=24,"Fast",IF(Table1[[#This Row],[Resolution_Time_Hours]]&lt;=72,"Medium","Slow"))</f>
        <v>Fast</v>
      </c>
    </row>
    <row r="895" spans="1:13" x14ac:dyDescent="0.3">
      <c r="A895" t="s">
        <v>2163</v>
      </c>
      <c r="B895" t="s">
        <v>2164</v>
      </c>
      <c r="C895" t="s">
        <v>11</v>
      </c>
      <c r="D895" t="s">
        <v>18</v>
      </c>
      <c r="E895" s="2" t="s">
        <v>79</v>
      </c>
      <c r="F895">
        <v>15</v>
      </c>
      <c r="G895" t="s">
        <v>14</v>
      </c>
      <c r="H895" s="2" t="s">
        <v>2820</v>
      </c>
      <c r="J895" t="str">
        <f>IF(Table1[[#This Row],[Resolution_Date]]="NA","Unresolved","Resolved")</f>
        <v>Unresolved</v>
      </c>
      <c r="K895" t="str">
        <f>IF(Table1[[#This Row],[Resolution_Date]]="NA"," ",Table1[[#This Row],[Resolution_Date]]-Table1[[#This Row],[Complaint_Date]])</f>
        <v xml:space="preserve"> </v>
      </c>
      <c r="L895" t="str">
        <f>TEXT(Table1[[#This Row],[Complaint_Date]],"MMM")</f>
        <v>Jun</v>
      </c>
      <c r="M895" t="str">
        <f>IF(Table1[[#This Row],[Resolution_Time_Hours]]&lt;=24,"Fast",IF(Table1[[#This Row],[Resolution_Time_Hours]]&lt;=72,"Medium","Slow"))</f>
        <v>Fast</v>
      </c>
    </row>
    <row r="896" spans="1:13" x14ac:dyDescent="0.3">
      <c r="A896" t="s">
        <v>2165</v>
      </c>
      <c r="B896" t="s">
        <v>2166</v>
      </c>
      <c r="C896" t="s">
        <v>70</v>
      </c>
      <c r="D896" t="s">
        <v>12</v>
      </c>
      <c r="E896" s="2" t="s">
        <v>173</v>
      </c>
      <c r="F896">
        <v>7</v>
      </c>
      <c r="G896" t="s">
        <v>20</v>
      </c>
      <c r="H896" s="2" t="s">
        <v>173</v>
      </c>
      <c r="I896">
        <v>5</v>
      </c>
      <c r="J896" t="str">
        <f>IF(Table1[[#This Row],[Resolution_Date]]="NA","Unresolved","Resolved")</f>
        <v>Resolved</v>
      </c>
      <c r="K896">
        <f>IF(Table1[[#This Row],[Resolution_Date]]="NA"," ",Table1[[#This Row],[Resolution_Date]]-Table1[[#This Row],[Complaint_Date]])</f>
        <v>0</v>
      </c>
      <c r="L896" t="str">
        <f>TEXT(Table1[[#This Row],[Complaint_Date]],"MMM")</f>
        <v>Dec</v>
      </c>
      <c r="M896" t="str">
        <f>IF(Table1[[#This Row],[Resolution_Time_Hours]]&lt;=24,"Fast",IF(Table1[[#This Row],[Resolution_Time_Hours]]&lt;=72,"Medium","Slow"))</f>
        <v>Fast</v>
      </c>
    </row>
    <row r="897" spans="1:13" x14ac:dyDescent="0.3">
      <c r="A897" t="s">
        <v>2167</v>
      </c>
      <c r="B897" t="s">
        <v>2168</v>
      </c>
      <c r="C897" t="s">
        <v>43</v>
      </c>
      <c r="D897" t="s">
        <v>12</v>
      </c>
      <c r="E897" s="2" t="s">
        <v>336</v>
      </c>
      <c r="F897">
        <v>40</v>
      </c>
      <c r="G897" t="s">
        <v>20</v>
      </c>
      <c r="H897" s="2" t="s">
        <v>1694</v>
      </c>
      <c r="I897">
        <v>2</v>
      </c>
      <c r="J897" t="str">
        <f>IF(Table1[[#This Row],[Resolution_Date]]="NA","Unresolved","Resolved")</f>
        <v>Resolved</v>
      </c>
      <c r="K897">
        <f>IF(Table1[[#This Row],[Resolution_Date]]="NA"," ",Table1[[#This Row],[Resolution_Date]]-Table1[[#This Row],[Complaint_Date]])</f>
        <v>1</v>
      </c>
      <c r="L897" t="str">
        <f>TEXT(Table1[[#This Row],[Complaint_Date]],"MMM")</f>
        <v>Oct</v>
      </c>
      <c r="M897" t="str">
        <f>IF(Table1[[#This Row],[Resolution_Time_Hours]]&lt;=24,"Fast",IF(Table1[[#This Row],[Resolution_Time_Hours]]&lt;=72,"Medium","Slow"))</f>
        <v>Medium</v>
      </c>
    </row>
    <row r="898" spans="1:13" x14ac:dyDescent="0.3">
      <c r="A898" t="s">
        <v>2169</v>
      </c>
      <c r="B898" t="s">
        <v>2170</v>
      </c>
      <c r="C898" t="s">
        <v>17</v>
      </c>
      <c r="D898" t="s">
        <v>18</v>
      </c>
      <c r="E898" s="2" t="s">
        <v>637</v>
      </c>
      <c r="F898">
        <v>13</v>
      </c>
      <c r="G898" t="s">
        <v>20</v>
      </c>
      <c r="H898" s="2" t="s">
        <v>637</v>
      </c>
      <c r="I898">
        <v>3</v>
      </c>
      <c r="J898" t="str">
        <f>IF(Table1[[#This Row],[Resolution_Date]]="NA","Unresolved","Resolved")</f>
        <v>Resolved</v>
      </c>
      <c r="K898">
        <f>IF(Table1[[#This Row],[Resolution_Date]]="NA"," ",Table1[[#This Row],[Resolution_Date]]-Table1[[#This Row],[Complaint_Date]])</f>
        <v>0</v>
      </c>
      <c r="L898" t="str">
        <f>TEXT(Table1[[#This Row],[Complaint_Date]],"MMM")</f>
        <v>Feb</v>
      </c>
      <c r="M898" t="str">
        <f>IF(Table1[[#This Row],[Resolution_Time_Hours]]&lt;=24,"Fast",IF(Table1[[#This Row],[Resolution_Time_Hours]]&lt;=72,"Medium","Slow"))</f>
        <v>Fast</v>
      </c>
    </row>
    <row r="899" spans="1:13" x14ac:dyDescent="0.3">
      <c r="A899" t="s">
        <v>2171</v>
      </c>
      <c r="B899" t="s">
        <v>2172</v>
      </c>
      <c r="C899" t="s">
        <v>43</v>
      </c>
      <c r="D899" t="s">
        <v>12</v>
      </c>
      <c r="E899" s="2" t="s">
        <v>806</v>
      </c>
      <c r="F899">
        <v>20</v>
      </c>
      <c r="G899" t="s">
        <v>20</v>
      </c>
      <c r="H899" s="2" t="s">
        <v>806</v>
      </c>
      <c r="I899">
        <v>3</v>
      </c>
      <c r="J899" t="str">
        <f>IF(Table1[[#This Row],[Resolution_Date]]="NA","Unresolved","Resolved")</f>
        <v>Resolved</v>
      </c>
      <c r="K899">
        <f>IF(Table1[[#This Row],[Resolution_Date]]="NA"," ",Table1[[#This Row],[Resolution_Date]]-Table1[[#This Row],[Complaint_Date]])</f>
        <v>0</v>
      </c>
      <c r="L899" t="str">
        <f>TEXT(Table1[[#This Row],[Complaint_Date]],"MMM")</f>
        <v>Jul</v>
      </c>
      <c r="M899" t="str">
        <f>IF(Table1[[#This Row],[Resolution_Time_Hours]]&lt;=24,"Fast",IF(Table1[[#This Row],[Resolution_Time_Hours]]&lt;=72,"Medium","Slow"))</f>
        <v>Fast</v>
      </c>
    </row>
    <row r="900" spans="1:13" x14ac:dyDescent="0.3">
      <c r="A900" t="s">
        <v>2173</v>
      </c>
      <c r="B900" t="s">
        <v>2174</v>
      </c>
      <c r="C900" t="s">
        <v>70</v>
      </c>
      <c r="D900" t="s">
        <v>18</v>
      </c>
      <c r="E900" s="2" t="s">
        <v>1486</v>
      </c>
      <c r="F900">
        <v>15</v>
      </c>
      <c r="G900" t="s">
        <v>14</v>
      </c>
      <c r="H900" s="2" t="s">
        <v>2820</v>
      </c>
      <c r="J900" t="str">
        <f>IF(Table1[[#This Row],[Resolution_Date]]="NA","Unresolved","Resolved")</f>
        <v>Unresolved</v>
      </c>
      <c r="K900" t="str">
        <f>IF(Table1[[#This Row],[Resolution_Date]]="NA"," ",Table1[[#This Row],[Resolution_Date]]-Table1[[#This Row],[Complaint_Date]])</f>
        <v xml:space="preserve"> </v>
      </c>
      <c r="L900" t="str">
        <f>TEXT(Table1[[#This Row],[Complaint_Date]],"MMM")</f>
        <v>Apr</v>
      </c>
      <c r="M900" t="str">
        <f>IF(Table1[[#This Row],[Resolution_Time_Hours]]&lt;=24,"Fast",IF(Table1[[#This Row],[Resolution_Time_Hours]]&lt;=72,"Medium","Slow"))</f>
        <v>Fast</v>
      </c>
    </row>
    <row r="901" spans="1:13" x14ac:dyDescent="0.3">
      <c r="A901" t="s">
        <v>2175</v>
      </c>
      <c r="B901" t="s">
        <v>2176</v>
      </c>
      <c r="C901" t="s">
        <v>17</v>
      </c>
      <c r="D901" t="s">
        <v>38</v>
      </c>
      <c r="E901" s="2" t="s">
        <v>1017</v>
      </c>
      <c r="F901">
        <v>19</v>
      </c>
      <c r="G901" t="s">
        <v>20</v>
      </c>
      <c r="H901" s="2" t="s">
        <v>1017</v>
      </c>
      <c r="I901">
        <v>3</v>
      </c>
      <c r="J901" t="str">
        <f>IF(Table1[[#This Row],[Resolution_Date]]="NA","Unresolved","Resolved")</f>
        <v>Resolved</v>
      </c>
      <c r="K901">
        <f>IF(Table1[[#This Row],[Resolution_Date]]="NA"," ",Table1[[#This Row],[Resolution_Date]]-Table1[[#This Row],[Complaint_Date]])</f>
        <v>0</v>
      </c>
      <c r="L901" t="str">
        <f>TEXT(Table1[[#This Row],[Complaint_Date]],"MMM")</f>
        <v>Aug</v>
      </c>
      <c r="M901" t="str">
        <f>IF(Table1[[#This Row],[Resolution_Time_Hours]]&lt;=24,"Fast",IF(Table1[[#This Row],[Resolution_Time_Hours]]&lt;=72,"Medium","Slow"))</f>
        <v>Fast</v>
      </c>
    </row>
    <row r="902" spans="1:13" x14ac:dyDescent="0.3">
      <c r="A902" t="s">
        <v>2177</v>
      </c>
      <c r="B902" t="s">
        <v>2178</v>
      </c>
      <c r="C902" t="s">
        <v>43</v>
      </c>
      <c r="D902" t="s">
        <v>95</v>
      </c>
      <c r="E902" s="2" t="s">
        <v>947</v>
      </c>
      <c r="F902">
        <v>45</v>
      </c>
      <c r="G902" t="s">
        <v>20</v>
      </c>
      <c r="H902" s="2" t="s">
        <v>137</v>
      </c>
      <c r="I902">
        <v>2</v>
      </c>
      <c r="J902" t="str">
        <f>IF(Table1[[#This Row],[Resolution_Date]]="NA","Unresolved","Resolved")</f>
        <v>Resolved</v>
      </c>
      <c r="K902">
        <f>IF(Table1[[#This Row],[Resolution_Date]]="NA"," ",Table1[[#This Row],[Resolution_Date]]-Table1[[#This Row],[Complaint_Date]])</f>
        <v>1</v>
      </c>
      <c r="L902" t="str">
        <f>TEXT(Table1[[#This Row],[Complaint_Date]],"MMM")</f>
        <v>Mar</v>
      </c>
      <c r="M902" t="str">
        <f>IF(Table1[[#This Row],[Resolution_Time_Hours]]&lt;=24,"Fast",IF(Table1[[#This Row],[Resolution_Time_Hours]]&lt;=72,"Medium","Slow"))</f>
        <v>Medium</v>
      </c>
    </row>
    <row r="903" spans="1:13" x14ac:dyDescent="0.3">
      <c r="A903" t="s">
        <v>2179</v>
      </c>
      <c r="B903" t="s">
        <v>2180</v>
      </c>
      <c r="C903" t="s">
        <v>110</v>
      </c>
      <c r="D903" t="s">
        <v>12</v>
      </c>
      <c r="E903" s="2" t="s">
        <v>1010</v>
      </c>
      <c r="F903">
        <v>4</v>
      </c>
      <c r="G903" t="s">
        <v>14</v>
      </c>
      <c r="H903" s="2" t="s">
        <v>2820</v>
      </c>
      <c r="J903" t="str">
        <f>IF(Table1[[#This Row],[Resolution_Date]]="NA","Unresolved","Resolved")</f>
        <v>Unresolved</v>
      </c>
      <c r="K903" t="str">
        <f>IF(Table1[[#This Row],[Resolution_Date]]="NA"," ",Table1[[#This Row],[Resolution_Date]]-Table1[[#This Row],[Complaint_Date]])</f>
        <v xml:space="preserve"> </v>
      </c>
      <c r="L903" t="str">
        <f>TEXT(Table1[[#This Row],[Complaint_Date]],"MMM")</f>
        <v>Sep</v>
      </c>
      <c r="M903" t="str">
        <f>IF(Table1[[#This Row],[Resolution_Time_Hours]]&lt;=24,"Fast",IF(Table1[[#This Row],[Resolution_Time_Hours]]&lt;=72,"Medium","Slow"))</f>
        <v>Fast</v>
      </c>
    </row>
    <row r="904" spans="1:13" x14ac:dyDescent="0.3">
      <c r="A904" t="s">
        <v>2181</v>
      </c>
      <c r="B904" t="s">
        <v>2182</v>
      </c>
      <c r="C904" t="s">
        <v>34</v>
      </c>
      <c r="D904" t="s">
        <v>95</v>
      </c>
      <c r="E904" s="2" t="s">
        <v>256</v>
      </c>
      <c r="F904">
        <v>94</v>
      </c>
      <c r="G904" t="s">
        <v>14</v>
      </c>
      <c r="H904" s="2" t="s">
        <v>2820</v>
      </c>
      <c r="J904" t="str">
        <f>IF(Table1[[#This Row],[Resolution_Date]]="NA","Unresolved","Resolved")</f>
        <v>Unresolved</v>
      </c>
      <c r="K904" t="str">
        <f>IF(Table1[[#This Row],[Resolution_Date]]="NA"," ",Table1[[#This Row],[Resolution_Date]]-Table1[[#This Row],[Complaint_Date]])</f>
        <v xml:space="preserve"> </v>
      </c>
      <c r="L904" t="str">
        <f>TEXT(Table1[[#This Row],[Complaint_Date]],"MMM")</f>
        <v>Feb</v>
      </c>
      <c r="M904" t="str">
        <f>IF(Table1[[#This Row],[Resolution_Time_Hours]]&lt;=24,"Fast",IF(Table1[[#This Row],[Resolution_Time_Hours]]&lt;=72,"Medium","Slow"))</f>
        <v>Slow</v>
      </c>
    </row>
    <row r="905" spans="1:13" x14ac:dyDescent="0.3">
      <c r="A905" t="s">
        <v>2183</v>
      </c>
      <c r="B905" t="s">
        <v>2184</v>
      </c>
      <c r="C905" t="s">
        <v>70</v>
      </c>
      <c r="D905" t="s">
        <v>95</v>
      </c>
      <c r="E905" s="2" t="s">
        <v>1328</v>
      </c>
      <c r="F905">
        <v>20</v>
      </c>
      <c r="G905" t="s">
        <v>20</v>
      </c>
      <c r="H905" s="2" t="s">
        <v>1328</v>
      </c>
      <c r="I905">
        <v>3</v>
      </c>
      <c r="J905" t="str">
        <f>IF(Table1[[#This Row],[Resolution_Date]]="NA","Unresolved","Resolved")</f>
        <v>Resolved</v>
      </c>
      <c r="K905">
        <f>IF(Table1[[#This Row],[Resolution_Date]]="NA"," ",Table1[[#This Row],[Resolution_Date]]-Table1[[#This Row],[Complaint_Date]])</f>
        <v>0</v>
      </c>
      <c r="L905" t="str">
        <f>TEXT(Table1[[#This Row],[Complaint_Date]],"MMM")</f>
        <v>Jan</v>
      </c>
      <c r="M905" t="str">
        <f>IF(Table1[[#This Row],[Resolution_Time_Hours]]&lt;=24,"Fast",IF(Table1[[#This Row],[Resolution_Time_Hours]]&lt;=72,"Medium","Slow"))</f>
        <v>Fast</v>
      </c>
    </row>
    <row r="906" spans="1:13" x14ac:dyDescent="0.3">
      <c r="A906" t="s">
        <v>2185</v>
      </c>
      <c r="B906" t="s">
        <v>2186</v>
      </c>
      <c r="C906" t="s">
        <v>34</v>
      </c>
      <c r="D906" t="s">
        <v>18</v>
      </c>
      <c r="E906" s="2" t="s">
        <v>35</v>
      </c>
      <c r="F906">
        <v>45</v>
      </c>
      <c r="G906" t="s">
        <v>40</v>
      </c>
      <c r="H906" s="2" t="s">
        <v>2820</v>
      </c>
      <c r="J906" t="str">
        <f>IF(Table1[[#This Row],[Resolution_Date]]="NA","Unresolved","Resolved")</f>
        <v>Unresolved</v>
      </c>
      <c r="K906" t="str">
        <f>IF(Table1[[#This Row],[Resolution_Date]]="NA"," ",Table1[[#This Row],[Resolution_Date]]-Table1[[#This Row],[Complaint_Date]])</f>
        <v xml:space="preserve"> </v>
      </c>
      <c r="L906" t="str">
        <f>TEXT(Table1[[#This Row],[Complaint_Date]],"MMM")</f>
        <v>Dec</v>
      </c>
      <c r="M906" t="str">
        <f>IF(Table1[[#This Row],[Resolution_Time_Hours]]&lt;=24,"Fast",IF(Table1[[#This Row],[Resolution_Time_Hours]]&lt;=72,"Medium","Slow"))</f>
        <v>Medium</v>
      </c>
    </row>
    <row r="907" spans="1:13" x14ac:dyDescent="0.3">
      <c r="A907" t="s">
        <v>2187</v>
      </c>
      <c r="B907" t="s">
        <v>2188</v>
      </c>
      <c r="C907" t="s">
        <v>43</v>
      </c>
      <c r="D907" t="s">
        <v>27</v>
      </c>
      <c r="E907" s="2" t="s">
        <v>1017</v>
      </c>
      <c r="F907">
        <v>10</v>
      </c>
      <c r="G907" t="s">
        <v>40</v>
      </c>
      <c r="H907" s="2" t="s">
        <v>2820</v>
      </c>
      <c r="J907" t="str">
        <f>IF(Table1[[#This Row],[Resolution_Date]]="NA","Unresolved","Resolved")</f>
        <v>Unresolved</v>
      </c>
      <c r="K907" t="str">
        <f>IF(Table1[[#This Row],[Resolution_Date]]="NA"," ",Table1[[#This Row],[Resolution_Date]]-Table1[[#This Row],[Complaint_Date]])</f>
        <v xml:space="preserve"> </v>
      </c>
      <c r="L907" t="str">
        <f>TEXT(Table1[[#This Row],[Complaint_Date]],"MMM")</f>
        <v>Aug</v>
      </c>
      <c r="M907" t="str">
        <f>IF(Table1[[#This Row],[Resolution_Time_Hours]]&lt;=24,"Fast",IF(Table1[[#This Row],[Resolution_Time_Hours]]&lt;=72,"Medium","Slow"))</f>
        <v>Fast</v>
      </c>
    </row>
    <row r="908" spans="1:13" x14ac:dyDescent="0.3">
      <c r="A908" t="s">
        <v>2189</v>
      </c>
      <c r="B908" t="s">
        <v>2190</v>
      </c>
      <c r="C908" t="s">
        <v>53</v>
      </c>
      <c r="D908" t="s">
        <v>27</v>
      </c>
      <c r="E908" s="2" t="s">
        <v>333</v>
      </c>
      <c r="F908">
        <v>8</v>
      </c>
      <c r="G908" t="s">
        <v>20</v>
      </c>
      <c r="H908" s="2" t="s">
        <v>333</v>
      </c>
      <c r="I908">
        <v>4</v>
      </c>
      <c r="J908" t="str">
        <f>IF(Table1[[#This Row],[Resolution_Date]]="NA","Unresolved","Resolved")</f>
        <v>Resolved</v>
      </c>
      <c r="K908">
        <f>IF(Table1[[#This Row],[Resolution_Date]]="NA"," ",Table1[[#This Row],[Resolution_Date]]-Table1[[#This Row],[Complaint_Date]])</f>
        <v>0</v>
      </c>
      <c r="L908" t="str">
        <f>TEXT(Table1[[#This Row],[Complaint_Date]],"MMM")</f>
        <v>Sep</v>
      </c>
      <c r="M908" t="str">
        <f>IF(Table1[[#This Row],[Resolution_Time_Hours]]&lt;=24,"Fast",IF(Table1[[#This Row],[Resolution_Time_Hours]]&lt;=72,"Medium","Slow"))</f>
        <v>Fast</v>
      </c>
    </row>
    <row r="909" spans="1:13" x14ac:dyDescent="0.3">
      <c r="A909" t="s">
        <v>2191</v>
      </c>
      <c r="B909" t="s">
        <v>2192</v>
      </c>
      <c r="C909" t="s">
        <v>53</v>
      </c>
      <c r="D909" t="s">
        <v>95</v>
      </c>
      <c r="E909" s="2" t="s">
        <v>380</v>
      </c>
      <c r="F909">
        <v>11</v>
      </c>
      <c r="G909" t="s">
        <v>14</v>
      </c>
      <c r="H909" s="2" t="s">
        <v>2820</v>
      </c>
      <c r="J909" t="str">
        <f>IF(Table1[[#This Row],[Resolution_Date]]="NA","Unresolved","Resolved")</f>
        <v>Unresolved</v>
      </c>
      <c r="K909" t="str">
        <f>IF(Table1[[#This Row],[Resolution_Date]]="NA"," ",Table1[[#This Row],[Resolution_Date]]-Table1[[#This Row],[Complaint_Date]])</f>
        <v xml:space="preserve"> </v>
      </c>
      <c r="L909" t="str">
        <f>TEXT(Table1[[#This Row],[Complaint_Date]],"MMM")</f>
        <v>Apr</v>
      </c>
      <c r="M909" t="str">
        <f>IF(Table1[[#This Row],[Resolution_Time_Hours]]&lt;=24,"Fast",IF(Table1[[#This Row],[Resolution_Time_Hours]]&lt;=72,"Medium","Slow"))</f>
        <v>Fast</v>
      </c>
    </row>
    <row r="910" spans="1:13" x14ac:dyDescent="0.3">
      <c r="A910" t="s">
        <v>2193</v>
      </c>
      <c r="B910" t="s">
        <v>2194</v>
      </c>
      <c r="C910" t="s">
        <v>17</v>
      </c>
      <c r="D910" t="s">
        <v>12</v>
      </c>
      <c r="E910" s="2" t="s">
        <v>552</v>
      </c>
      <c r="F910">
        <v>12</v>
      </c>
      <c r="G910" t="s">
        <v>14</v>
      </c>
      <c r="H910" s="2" t="s">
        <v>2820</v>
      </c>
      <c r="J910" t="str">
        <f>IF(Table1[[#This Row],[Resolution_Date]]="NA","Unresolved","Resolved")</f>
        <v>Unresolved</v>
      </c>
      <c r="K910" t="str">
        <f>IF(Table1[[#This Row],[Resolution_Date]]="NA"," ",Table1[[#This Row],[Resolution_Date]]-Table1[[#This Row],[Complaint_Date]])</f>
        <v xml:space="preserve"> </v>
      </c>
      <c r="L910" t="str">
        <f>TEXT(Table1[[#This Row],[Complaint_Date]],"MMM")</f>
        <v>Jul</v>
      </c>
      <c r="M910" t="str">
        <f>IF(Table1[[#This Row],[Resolution_Time_Hours]]&lt;=24,"Fast",IF(Table1[[#This Row],[Resolution_Time_Hours]]&lt;=72,"Medium","Slow"))</f>
        <v>Fast</v>
      </c>
    </row>
    <row r="911" spans="1:13" x14ac:dyDescent="0.3">
      <c r="A911" t="s">
        <v>2195</v>
      </c>
      <c r="B911" t="s">
        <v>2196</v>
      </c>
      <c r="C911" t="s">
        <v>34</v>
      </c>
      <c r="D911" t="s">
        <v>12</v>
      </c>
      <c r="E911" s="2" t="s">
        <v>296</v>
      </c>
      <c r="F911">
        <v>32</v>
      </c>
      <c r="G911" t="s">
        <v>20</v>
      </c>
      <c r="H911" s="2" t="s">
        <v>619</v>
      </c>
      <c r="I911">
        <v>2</v>
      </c>
      <c r="J911" t="str">
        <f>IF(Table1[[#This Row],[Resolution_Date]]="NA","Unresolved","Resolved")</f>
        <v>Resolved</v>
      </c>
      <c r="K911">
        <f>IF(Table1[[#This Row],[Resolution_Date]]="NA"," ",Table1[[#This Row],[Resolution_Date]]-Table1[[#This Row],[Complaint_Date]])</f>
        <v>1</v>
      </c>
      <c r="L911" t="str">
        <f>TEXT(Table1[[#This Row],[Complaint_Date]],"MMM")</f>
        <v>Mar</v>
      </c>
      <c r="M911" t="str">
        <f>IF(Table1[[#This Row],[Resolution_Time_Hours]]&lt;=24,"Fast",IF(Table1[[#This Row],[Resolution_Time_Hours]]&lt;=72,"Medium","Slow"))</f>
        <v>Medium</v>
      </c>
    </row>
    <row r="912" spans="1:13" x14ac:dyDescent="0.3">
      <c r="A912" t="s">
        <v>2197</v>
      </c>
      <c r="B912" t="s">
        <v>2198</v>
      </c>
      <c r="C912" t="s">
        <v>43</v>
      </c>
      <c r="D912" t="s">
        <v>18</v>
      </c>
      <c r="E912" s="2" t="s">
        <v>1140</v>
      </c>
      <c r="F912">
        <v>54</v>
      </c>
      <c r="G912" t="s">
        <v>14</v>
      </c>
      <c r="H912" s="2" t="s">
        <v>2820</v>
      </c>
      <c r="J912" t="str">
        <f>IF(Table1[[#This Row],[Resolution_Date]]="NA","Unresolved","Resolved")</f>
        <v>Unresolved</v>
      </c>
      <c r="K912" t="str">
        <f>IF(Table1[[#This Row],[Resolution_Date]]="NA"," ",Table1[[#This Row],[Resolution_Date]]-Table1[[#This Row],[Complaint_Date]])</f>
        <v xml:space="preserve"> </v>
      </c>
      <c r="L912" t="str">
        <f>TEXT(Table1[[#This Row],[Complaint_Date]],"MMM")</f>
        <v>Aug</v>
      </c>
      <c r="M912" t="str">
        <f>IF(Table1[[#This Row],[Resolution_Time_Hours]]&lt;=24,"Fast",IF(Table1[[#This Row],[Resolution_Time_Hours]]&lt;=72,"Medium","Slow"))</f>
        <v>Medium</v>
      </c>
    </row>
    <row r="913" spans="1:13" x14ac:dyDescent="0.3">
      <c r="A913" t="s">
        <v>2199</v>
      </c>
      <c r="B913" t="s">
        <v>2200</v>
      </c>
      <c r="C913" t="s">
        <v>11</v>
      </c>
      <c r="D913" t="s">
        <v>38</v>
      </c>
      <c r="E913" s="2" t="s">
        <v>1660</v>
      </c>
      <c r="F913">
        <v>13</v>
      </c>
      <c r="G913" t="s">
        <v>20</v>
      </c>
      <c r="H913" s="2" t="s">
        <v>1660</v>
      </c>
      <c r="I913">
        <v>3</v>
      </c>
      <c r="J913" t="str">
        <f>IF(Table1[[#This Row],[Resolution_Date]]="NA","Unresolved","Resolved")</f>
        <v>Resolved</v>
      </c>
      <c r="K913">
        <f>IF(Table1[[#This Row],[Resolution_Date]]="NA"," ",Table1[[#This Row],[Resolution_Date]]-Table1[[#This Row],[Complaint_Date]])</f>
        <v>0</v>
      </c>
      <c r="L913" t="str">
        <f>TEXT(Table1[[#This Row],[Complaint_Date]],"MMM")</f>
        <v>May</v>
      </c>
      <c r="M913" t="str">
        <f>IF(Table1[[#This Row],[Resolution_Time_Hours]]&lt;=24,"Fast",IF(Table1[[#This Row],[Resolution_Time_Hours]]&lt;=72,"Medium","Slow"))</f>
        <v>Fast</v>
      </c>
    </row>
    <row r="914" spans="1:13" x14ac:dyDescent="0.3">
      <c r="A914" t="s">
        <v>2201</v>
      </c>
      <c r="B914" t="s">
        <v>2202</v>
      </c>
      <c r="C914" t="s">
        <v>34</v>
      </c>
      <c r="D914" t="s">
        <v>95</v>
      </c>
      <c r="E914" s="2" t="s">
        <v>49</v>
      </c>
      <c r="F914">
        <v>53</v>
      </c>
      <c r="G914" t="s">
        <v>20</v>
      </c>
      <c r="H914" s="2" t="s">
        <v>1748</v>
      </c>
      <c r="I914">
        <v>5</v>
      </c>
      <c r="J914" t="str">
        <f>IF(Table1[[#This Row],[Resolution_Date]]="NA","Unresolved","Resolved")</f>
        <v>Resolved</v>
      </c>
      <c r="K914">
        <f>IF(Table1[[#This Row],[Resolution_Date]]="NA"," ",Table1[[#This Row],[Resolution_Date]]-Table1[[#This Row],[Complaint_Date]])</f>
        <v>2</v>
      </c>
      <c r="L914" t="str">
        <f>TEXT(Table1[[#This Row],[Complaint_Date]],"MMM")</f>
        <v>Jul</v>
      </c>
      <c r="M914" t="str">
        <f>IF(Table1[[#This Row],[Resolution_Time_Hours]]&lt;=24,"Fast",IF(Table1[[#This Row],[Resolution_Time_Hours]]&lt;=72,"Medium","Slow"))</f>
        <v>Medium</v>
      </c>
    </row>
    <row r="915" spans="1:13" x14ac:dyDescent="0.3">
      <c r="A915" t="s">
        <v>2203</v>
      </c>
      <c r="B915" t="s">
        <v>2204</v>
      </c>
      <c r="C915" t="s">
        <v>48</v>
      </c>
      <c r="D915" t="s">
        <v>12</v>
      </c>
      <c r="E915" s="2" t="s">
        <v>124</v>
      </c>
      <c r="F915">
        <v>72</v>
      </c>
      <c r="G915" t="s">
        <v>14</v>
      </c>
      <c r="H915" s="2" t="s">
        <v>2820</v>
      </c>
      <c r="J915" t="str">
        <f>IF(Table1[[#This Row],[Resolution_Date]]="NA","Unresolved","Resolved")</f>
        <v>Unresolved</v>
      </c>
      <c r="K915" t="str">
        <f>IF(Table1[[#This Row],[Resolution_Date]]="NA"," ",Table1[[#This Row],[Resolution_Date]]-Table1[[#This Row],[Complaint_Date]])</f>
        <v xml:space="preserve"> </v>
      </c>
      <c r="L915" t="str">
        <f>TEXT(Table1[[#This Row],[Complaint_Date]],"MMM")</f>
        <v>Mar</v>
      </c>
      <c r="M915" t="str">
        <f>IF(Table1[[#This Row],[Resolution_Time_Hours]]&lt;=24,"Fast",IF(Table1[[#This Row],[Resolution_Time_Hours]]&lt;=72,"Medium","Slow"))</f>
        <v>Medium</v>
      </c>
    </row>
    <row r="916" spans="1:13" x14ac:dyDescent="0.3">
      <c r="A916" t="s">
        <v>2205</v>
      </c>
      <c r="B916" t="s">
        <v>2206</v>
      </c>
      <c r="C916" t="s">
        <v>70</v>
      </c>
      <c r="D916" t="s">
        <v>27</v>
      </c>
      <c r="E916" s="2" t="s">
        <v>1501</v>
      </c>
      <c r="F916">
        <v>5</v>
      </c>
      <c r="G916" t="s">
        <v>20</v>
      </c>
      <c r="H916" s="2" t="s">
        <v>1501</v>
      </c>
      <c r="I916">
        <v>5</v>
      </c>
      <c r="J916" t="str">
        <f>IF(Table1[[#This Row],[Resolution_Date]]="NA","Unresolved","Resolved")</f>
        <v>Resolved</v>
      </c>
      <c r="K916">
        <f>IF(Table1[[#This Row],[Resolution_Date]]="NA"," ",Table1[[#This Row],[Resolution_Date]]-Table1[[#This Row],[Complaint_Date]])</f>
        <v>0</v>
      </c>
      <c r="L916" t="str">
        <f>TEXT(Table1[[#This Row],[Complaint_Date]],"MMM")</f>
        <v>Oct</v>
      </c>
      <c r="M916" t="str">
        <f>IF(Table1[[#This Row],[Resolution_Time_Hours]]&lt;=24,"Fast",IF(Table1[[#This Row],[Resolution_Time_Hours]]&lt;=72,"Medium","Slow"))</f>
        <v>Fast</v>
      </c>
    </row>
    <row r="917" spans="1:13" x14ac:dyDescent="0.3">
      <c r="A917" t="s">
        <v>2207</v>
      </c>
      <c r="B917" t="s">
        <v>2208</v>
      </c>
      <c r="C917" t="s">
        <v>53</v>
      </c>
      <c r="D917" t="s">
        <v>38</v>
      </c>
      <c r="E917" s="2" t="s">
        <v>74</v>
      </c>
      <c r="F917">
        <v>7</v>
      </c>
      <c r="G917" t="s">
        <v>20</v>
      </c>
      <c r="H917" s="2" t="s">
        <v>74</v>
      </c>
      <c r="I917">
        <v>4</v>
      </c>
      <c r="J917" t="str">
        <f>IF(Table1[[#This Row],[Resolution_Date]]="NA","Unresolved","Resolved")</f>
        <v>Resolved</v>
      </c>
      <c r="K917">
        <f>IF(Table1[[#This Row],[Resolution_Date]]="NA"," ",Table1[[#This Row],[Resolution_Date]]-Table1[[#This Row],[Complaint_Date]])</f>
        <v>0</v>
      </c>
      <c r="L917" t="str">
        <f>TEXT(Table1[[#This Row],[Complaint_Date]],"MMM")</f>
        <v>Aug</v>
      </c>
      <c r="M917" t="str">
        <f>IF(Table1[[#This Row],[Resolution_Time_Hours]]&lt;=24,"Fast",IF(Table1[[#This Row],[Resolution_Time_Hours]]&lt;=72,"Medium","Slow"))</f>
        <v>Fast</v>
      </c>
    </row>
    <row r="918" spans="1:13" x14ac:dyDescent="0.3">
      <c r="A918" t="s">
        <v>2209</v>
      </c>
      <c r="B918" t="s">
        <v>2210</v>
      </c>
      <c r="C918" t="s">
        <v>53</v>
      </c>
      <c r="D918" t="s">
        <v>95</v>
      </c>
      <c r="E918" s="2" t="s">
        <v>532</v>
      </c>
      <c r="F918">
        <v>12</v>
      </c>
      <c r="G918" t="s">
        <v>20</v>
      </c>
      <c r="H918" s="2" t="s">
        <v>532</v>
      </c>
      <c r="I918">
        <v>4</v>
      </c>
      <c r="J918" t="str">
        <f>IF(Table1[[#This Row],[Resolution_Date]]="NA","Unresolved","Resolved")</f>
        <v>Resolved</v>
      </c>
      <c r="K918">
        <f>IF(Table1[[#This Row],[Resolution_Date]]="NA"," ",Table1[[#This Row],[Resolution_Date]]-Table1[[#This Row],[Complaint_Date]])</f>
        <v>0</v>
      </c>
      <c r="L918" t="str">
        <f>TEXT(Table1[[#This Row],[Complaint_Date]],"MMM")</f>
        <v>Jun</v>
      </c>
      <c r="M918" t="str">
        <f>IF(Table1[[#This Row],[Resolution_Time_Hours]]&lt;=24,"Fast",IF(Table1[[#This Row],[Resolution_Time_Hours]]&lt;=72,"Medium","Slow"))</f>
        <v>Fast</v>
      </c>
    </row>
    <row r="919" spans="1:13" x14ac:dyDescent="0.3">
      <c r="A919" t="s">
        <v>2211</v>
      </c>
      <c r="B919" t="s">
        <v>2212</v>
      </c>
      <c r="C919" t="s">
        <v>43</v>
      </c>
      <c r="D919" t="s">
        <v>38</v>
      </c>
      <c r="E919" s="2" t="s">
        <v>13</v>
      </c>
      <c r="F919">
        <v>58</v>
      </c>
      <c r="G919" t="s">
        <v>20</v>
      </c>
      <c r="H919" s="2" t="s">
        <v>469</v>
      </c>
      <c r="I919">
        <v>1</v>
      </c>
      <c r="J919" t="str">
        <f>IF(Table1[[#This Row],[Resolution_Date]]="NA","Unresolved","Resolved")</f>
        <v>Resolved</v>
      </c>
      <c r="K919">
        <f>IF(Table1[[#This Row],[Resolution_Date]]="NA"," ",Table1[[#This Row],[Resolution_Date]]-Table1[[#This Row],[Complaint_Date]])</f>
        <v>2</v>
      </c>
      <c r="L919" t="str">
        <f>TEXT(Table1[[#This Row],[Complaint_Date]],"MMM")</f>
        <v>Oct</v>
      </c>
      <c r="M919" t="str">
        <f>IF(Table1[[#This Row],[Resolution_Time_Hours]]&lt;=24,"Fast",IF(Table1[[#This Row],[Resolution_Time_Hours]]&lt;=72,"Medium","Slow"))</f>
        <v>Medium</v>
      </c>
    </row>
    <row r="920" spans="1:13" x14ac:dyDescent="0.3">
      <c r="A920" t="s">
        <v>2213</v>
      </c>
      <c r="B920" t="s">
        <v>2214</v>
      </c>
      <c r="C920" t="s">
        <v>34</v>
      </c>
      <c r="D920" t="s">
        <v>95</v>
      </c>
      <c r="E920" s="2" t="s">
        <v>474</v>
      </c>
      <c r="F920">
        <v>94</v>
      </c>
      <c r="G920" t="s">
        <v>20</v>
      </c>
      <c r="H920" s="2" t="s">
        <v>398</v>
      </c>
      <c r="I920">
        <v>1</v>
      </c>
      <c r="J920" t="str">
        <f>IF(Table1[[#This Row],[Resolution_Date]]="NA","Unresolved","Resolved")</f>
        <v>Resolved</v>
      </c>
      <c r="K920">
        <f>IF(Table1[[#This Row],[Resolution_Date]]="NA"," ",Table1[[#This Row],[Resolution_Date]]-Table1[[#This Row],[Complaint_Date]])</f>
        <v>3</v>
      </c>
      <c r="L920" t="str">
        <f>TEXT(Table1[[#This Row],[Complaint_Date]],"MMM")</f>
        <v>Oct</v>
      </c>
      <c r="M920" t="str">
        <f>IF(Table1[[#This Row],[Resolution_Time_Hours]]&lt;=24,"Fast",IF(Table1[[#This Row],[Resolution_Time_Hours]]&lt;=72,"Medium","Slow"))</f>
        <v>Slow</v>
      </c>
    </row>
    <row r="921" spans="1:13" x14ac:dyDescent="0.3">
      <c r="A921" t="s">
        <v>2215</v>
      </c>
      <c r="B921" t="s">
        <v>2216</v>
      </c>
      <c r="C921" t="s">
        <v>48</v>
      </c>
      <c r="D921" t="s">
        <v>18</v>
      </c>
      <c r="E921" s="2" t="s">
        <v>711</v>
      </c>
      <c r="F921">
        <v>11</v>
      </c>
      <c r="G921" t="s">
        <v>20</v>
      </c>
      <c r="H921" s="2" t="s">
        <v>711</v>
      </c>
      <c r="I921">
        <v>4</v>
      </c>
      <c r="J921" t="str">
        <f>IF(Table1[[#This Row],[Resolution_Date]]="NA","Unresolved","Resolved")</f>
        <v>Resolved</v>
      </c>
      <c r="K921">
        <f>IF(Table1[[#This Row],[Resolution_Date]]="NA"," ",Table1[[#This Row],[Resolution_Date]]-Table1[[#This Row],[Complaint_Date]])</f>
        <v>0</v>
      </c>
      <c r="L921" t="str">
        <f>TEXT(Table1[[#This Row],[Complaint_Date]],"MMM")</f>
        <v>Aug</v>
      </c>
      <c r="M921" t="str">
        <f>IF(Table1[[#This Row],[Resolution_Time_Hours]]&lt;=24,"Fast",IF(Table1[[#This Row],[Resolution_Time_Hours]]&lt;=72,"Medium","Slow"))</f>
        <v>Fast</v>
      </c>
    </row>
    <row r="922" spans="1:13" x14ac:dyDescent="0.3">
      <c r="A922" t="s">
        <v>2217</v>
      </c>
      <c r="B922" t="s">
        <v>2218</v>
      </c>
      <c r="C922" t="s">
        <v>11</v>
      </c>
      <c r="D922" t="s">
        <v>12</v>
      </c>
      <c r="E922" s="2" t="s">
        <v>525</v>
      </c>
      <c r="F922">
        <v>10</v>
      </c>
      <c r="G922" t="s">
        <v>14</v>
      </c>
      <c r="H922" s="2" t="s">
        <v>2820</v>
      </c>
      <c r="J922" t="str">
        <f>IF(Table1[[#This Row],[Resolution_Date]]="NA","Unresolved","Resolved")</f>
        <v>Unresolved</v>
      </c>
      <c r="K922" t="str">
        <f>IF(Table1[[#This Row],[Resolution_Date]]="NA"," ",Table1[[#This Row],[Resolution_Date]]-Table1[[#This Row],[Complaint_Date]])</f>
        <v xml:space="preserve"> </v>
      </c>
      <c r="L922" t="str">
        <f>TEXT(Table1[[#This Row],[Complaint_Date]],"MMM")</f>
        <v>Mar</v>
      </c>
      <c r="M922" t="str">
        <f>IF(Table1[[#This Row],[Resolution_Time_Hours]]&lt;=24,"Fast",IF(Table1[[#This Row],[Resolution_Time_Hours]]&lt;=72,"Medium","Slow"))</f>
        <v>Fast</v>
      </c>
    </row>
    <row r="923" spans="1:13" x14ac:dyDescent="0.3">
      <c r="A923" t="s">
        <v>2219</v>
      </c>
      <c r="B923" t="s">
        <v>2220</v>
      </c>
      <c r="C923" t="s">
        <v>11</v>
      </c>
      <c r="D923" t="s">
        <v>95</v>
      </c>
      <c r="E923" s="2" t="s">
        <v>35</v>
      </c>
      <c r="F923">
        <v>27</v>
      </c>
      <c r="G923" t="s">
        <v>40</v>
      </c>
      <c r="H923" s="2" t="s">
        <v>2820</v>
      </c>
      <c r="J923" t="str">
        <f>IF(Table1[[#This Row],[Resolution_Date]]="NA","Unresolved","Resolved")</f>
        <v>Unresolved</v>
      </c>
      <c r="K923" t="str">
        <f>IF(Table1[[#This Row],[Resolution_Date]]="NA"," ",Table1[[#This Row],[Resolution_Date]]-Table1[[#This Row],[Complaint_Date]])</f>
        <v xml:space="preserve"> </v>
      </c>
      <c r="L923" t="str">
        <f>TEXT(Table1[[#This Row],[Complaint_Date]],"MMM")</f>
        <v>Dec</v>
      </c>
      <c r="M923" t="str">
        <f>IF(Table1[[#This Row],[Resolution_Time_Hours]]&lt;=24,"Fast",IF(Table1[[#This Row],[Resolution_Time_Hours]]&lt;=72,"Medium","Slow"))</f>
        <v>Medium</v>
      </c>
    </row>
    <row r="924" spans="1:13" x14ac:dyDescent="0.3">
      <c r="A924" t="s">
        <v>2221</v>
      </c>
      <c r="B924" t="s">
        <v>2222</v>
      </c>
      <c r="C924" t="s">
        <v>17</v>
      </c>
      <c r="D924" t="s">
        <v>38</v>
      </c>
      <c r="E924" s="2" t="s">
        <v>896</v>
      </c>
      <c r="F924">
        <v>33</v>
      </c>
      <c r="G924" t="s">
        <v>14</v>
      </c>
      <c r="H924" s="2" t="s">
        <v>2820</v>
      </c>
      <c r="J924" t="str">
        <f>IF(Table1[[#This Row],[Resolution_Date]]="NA","Unresolved","Resolved")</f>
        <v>Unresolved</v>
      </c>
      <c r="K924" t="str">
        <f>IF(Table1[[#This Row],[Resolution_Date]]="NA"," ",Table1[[#This Row],[Resolution_Date]]-Table1[[#This Row],[Complaint_Date]])</f>
        <v xml:space="preserve"> </v>
      </c>
      <c r="L924" t="str">
        <f>TEXT(Table1[[#This Row],[Complaint_Date]],"MMM")</f>
        <v>Mar</v>
      </c>
      <c r="M924" t="str">
        <f>IF(Table1[[#This Row],[Resolution_Time_Hours]]&lt;=24,"Fast",IF(Table1[[#This Row],[Resolution_Time_Hours]]&lt;=72,"Medium","Slow"))</f>
        <v>Medium</v>
      </c>
    </row>
    <row r="925" spans="1:13" x14ac:dyDescent="0.3">
      <c r="A925" t="s">
        <v>2223</v>
      </c>
      <c r="B925" t="s">
        <v>2224</v>
      </c>
      <c r="C925" t="s">
        <v>34</v>
      </c>
      <c r="D925" t="s">
        <v>38</v>
      </c>
      <c r="E925" s="2" t="s">
        <v>1159</v>
      </c>
      <c r="F925">
        <v>71</v>
      </c>
      <c r="G925" t="s">
        <v>14</v>
      </c>
      <c r="H925" s="2" t="s">
        <v>2820</v>
      </c>
      <c r="J925" t="str">
        <f>IF(Table1[[#This Row],[Resolution_Date]]="NA","Unresolved","Resolved")</f>
        <v>Unresolved</v>
      </c>
      <c r="K925" t="str">
        <f>IF(Table1[[#This Row],[Resolution_Date]]="NA"," ",Table1[[#This Row],[Resolution_Date]]-Table1[[#This Row],[Complaint_Date]])</f>
        <v xml:space="preserve"> </v>
      </c>
      <c r="L925" t="str">
        <f>TEXT(Table1[[#This Row],[Complaint_Date]],"MMM")</f>
        <v>Nov</v>
      </c>
      <c r="M925" t="str">
        <f>IF(Table1[[#This Row],[Resolution_Time_Hours]]&lt;=24,"Fast",IF(Table1[[#This Row],[Resolution_Time_Hours]]&lt;=72,"Medium","Slow"))</f>
        <v>Medium</v>
      </c>
    </row>
    <row r="926" spans="1:13" x14ac:dyDescent="0.3">
      <c r="A926" t="s">
        <v>2225</v>
      </c>
      <c r="B926" t="s">
        <v>2226</v>
      </c>
      <c r="C926" t="s">
        <v>34</v>
      </c>
      <c r="D926" t="s">
        <v>38</v>
      </c>
      <c r="E926" s="2" t="s">
        <v>1405</v>
      </c>
      <c r="F926">
        <v>26</v>
      </c>
      <c r="G926" t="s">
        <v>40</v>
      </c>
      <c r="H926" s="2" t="s">
        <v>2820</v>
      </c>
      <c r="J926" t="str">
        <f>IF(Table1[[#This Row],[Resolution_Date]]="NA","Unresolved","Resolved")</f>
        <v>Unresolved</v>
      </c>
      <c r="K926" t="str">
        <f>IF(Table1[[#This Row],[Resolution_Date]]="NA"," ",Table1[[#This Row],[Resolution_Date]]-Table1[[#This Row],[Complaint_Date]])</f>
        <v xml:space="preserve"> </v>
      </c>
      <c r="L926" t="str">
        <f>TEXT(Table1[[#This Row],[Complaint_Date]],"MMM")</f>
        <v>Feb</v>
      </c>
      <c r="M926" t="str">
        <f>IF(Table1[[#This Row],[Resolution_Time_Hours]]&lt;=24,"Fast",IF(Table1[[#This Row],[Resolution_Time_Hours]]&lt;=72,"Medium","Slow"))</f>
        <v>Medium</v>
      </c>
    </row>
    <row r="927" spans="1:13" x14ac:dyDescent="0.3">
      <c r="A927" t="s">
        <v>2227</v>
      </c>
      <c r="B927" t="s">
        <v>2228</v>
      </c>
      <c r="C927" t="s">
        <v>43</v>
      </c>
      <c r="D927" t="s">
        <v>12</v>
      </c>
      <c r="E927" s="2" t="s">
        <v>788</v>
      </c>
      <c r="F927">
        <v>36</v>
      </c>
      <c r="G927" t="s">
        <v>40</v>
      </c>
      <c r="H927" s="2" t="s">
        <v>2820</v>
      </c>
      <c r="J927" t="str">
        <f>IF(Table1[[#This Row],[Resolution_Date]]="NA","Unresolved","Resolved")</f>
        <v>Unresolved</v>
      </c>
      <c r="K927" t="str">
        <f>IF(Table1[[#This Row],[Resolution_Date]]="NA"," ",Table1[[#This Row],[Resolution_Date]]-Table1[[#This Row],[Complaint_Date]])</f>
        <v xml:space="preserve"> </v>
      </c>
      <c r="L927" t="str">
        <f>TEXT(Table1[[#This Row],[Complaint_Date]],"MMM")</f>
        <v>Jan</v>
      </c>
      <c r="M927" t="str">
        <f>IF(Table1[[#This Row],[Resolution_Time_Hours]]&lt;=24,"Fast",IF(Table1[[#This Row],[Resolution_Time_Hours]]&lt;=72,"Medium","Slow"))</f>
        <v>Medium</v>
      </c>
    </row>
    <row r="928" spans="1:13" x14ac:dyDescent="0.3">
      <c r="A928" t="s">
        <v>2229</v>
      </c>
      <c r="B928" t="s">
        <v>2230</v>
      </c>
      <c r="C928" t="s">
        <v>70</v>
      </c>
      <c r="D928" t="s">
        <v>12</v>
      </c>
      <c r="E928" s="2" t="s">
        <v>2231</v>
      </c>
      <c r="F928">
        <v>14</v>
      </c>
      <c r="G928" t="s">
        <v>20</v>
      </c>
      <c r="H928" s="2" t="s">
        <v>2231</v>
      </c>
      <c r="I928">
        <v>5</v>
      </c>
      <c r="J928" t="str">
        <f>IF(Table1[[#This Row],[Resolution_Date]]="NA","Unresolved","Resolved")</f>
        <v>Resolved</v>
      </c>
      <c r="K928">
        <f>IF(Table1[[#This Row],[Resolution_Date]]="NA"," ",Table1[[#This Row],[Resolution_Date]]-Table1[[#This Row],[Complaint_Date]])</f>
        <v>0</v>
      </c>
      <c r="L928" t="str">
        <f>TEXT(Table1[[#This Row],[Complaint_Date]],"MMM")</f>
        <v>Nov</v>
      </c>
      <c r="M928" t="str">
        <f>IF(Table1[[#This Row],[Resolution_Time_Hours]]&lt;=24,"Fast",IF(Table1[[#This Row],[Resolution_Time_Hours]]&lt;=72,"Medium","Slow"))</f>
        <v>Fast</v>
      </c>
    </row>
    <row r="929" spans="1:13" x14ac:dyDescent="0.3">
      <c r="A929" t="s">
        <v>2232</v>
      </c>
      <c r="B929" t="s">
        <v>2233</v>
      </c>
      <c r="C929" t="s">
        <v>11</v>
      </c>
      <c r="D929" t="s">
        <v>38</v>
      </c>
      <c r="E929" s="2" t="s">
        <v>657</v>
      </c>
      <c r="F929">
        <v>19</v>
      </c>
      <c r="G929" t="s">
        <v>14</v>
      </c>
      <c r="H929" s="2" t="s">
        <v>2820</v>
      </c>
      <c r="J929" t="str">
        <f>IF(Table1[[#This Row],[Resolution_Date]]="NA","Unresolved","Resolved")</f>
        <v>Unresolved</v>
      </c>
      <c r="K929" t="str">
        <f>IF(Table1[[#This Row],[Resolution_Date]]="NA"," ",Table1[[#This Row],[Resolution_Date]]-Table1[[#This Row],[Complaint_Date]])</f>
        <v xml:space="preserve"> </v>
      </c>
      <c r="L929" t="str">
        <f>TEXT(Table1[[#This Row],[Complaint_Date]],"MMM")</f>
        <v>Jul</v>
      </c>
      <c r="M929" t="str">
        <f>IF(Table1[[#This Row],[Resolution_Time_Hours]]&lt;=24,"Fast",IF(Table1[[#This Row],[Resolution_Time_Hours]]&lt;=72,"Medium","Slow"))</f>
        <v>Fast</v>
      </c>
    </row>
    <row r="930" spans="1:13" x14ac:dyDescent="0.3">
      <c r="A930" t="s">
        <v>2234</v>
      </c>
      <c r="B930" t="s">
        <v>2235</v>
      </c>
      <c r="C930" t="s">
        <v>70</v>
      </c>
      <c r="D930" t="s">
        <v>27</v>
      </c>
      <c r="E930" s="2" t="s">
        <v>492</v>
      </c>
      <c r="F930">
        <v>4</v>
      </c>
      <c r="G930" t="s">
        <v>40</v>
      </c>
      <c r="H930" s="2" t="s">
        <v>2820</v>
      </c>
      <c r="J930" t="str">
        <f>IF(Table1[[#This Row],[Resolution_Date]]="NA","Unresolved","Resolved")</f>
        <v>Unresolved</v>
      </c>
      <c r="K930" t="str">
        <f>IF(Table1[[#This Row],[Resolution_Date]]="NA"," ",Table1[[#This Row],[Resolution_Date]]-Table1[[#This Row],[Complaint_Date]])</f>
        <v xml:space="preserve"> </v>
      </c>
      <c r="L930" t="str">
        <f>TEXT(Table1[[#This Row],[Complaint_Date]],"MMM")</f>
        <v>Oct</v>
      </c>
      <c r="M930" t="str">
        <f>IF(Table1[[#This Row],[Resolution_Time_Hours]]&lt;=24,"Fast",IF(Table1[[#This Row],[Resolution_Time_Hours]]&lt;=72,"Medium","Slow"))</f>
        <v>Fast</v>
      </c>
    </row>
    <row r="931" spans="1:13" x14ac:dyDescent="0.3">
      <c r="A931" t="s">
        <v>2236</v>
      </c>
      <c r="B931" t="s">
        <v>2237</v>
      </c>
      <c r="C931" t="s">
        <v>48</v>
      </c>
      <c r="D931" t="s">
        <v>38</v>
      </c>
      <c r="E931" s="2" t="s">
        <v>85</v>
      </c>
      <c r="F931">
        <v>57</v>
      </c>
      <c r="G931" t="s">
        <v>14</v>
      </c>
      <c r="H931" s="2" t="s">
        <v>2820</v>
      </c>
      <c r="J931" t="str">
        <f>IF(Table1[[#This Row],[Resolution_Date]]="NA","Unresolved","Resolved")</f>
        <v>Unresolved</v>
      </c>
      <c r="K931" t="str">
        <f>IF(Table1[[#This Row],[Resolution_Date]]="NA"," ",Table1[[#This Row],[Resolution_Date]]-Table1[[#This Row],[Complaint_Date]])</f>
        <v xml:space="preserve"> </v>
      </c>
      <c r="L931" t="str">
        <f>TEXT(Table1[[#This Row],[Complaint_Date]],"MMM")</f>
        <v>Mar</v>
      </c>
      <c r="M931" t="str">
        <f>IF(Table1[[#This Row],[Resolution_Time_Hours]]&lt;=24,"Fast",IF(Table1[[#This Row],[Resolution_Time_Hours]]&lt;=72,"Medium","Slow"))</f>
        <v>Medium</v>
      </c>
    </row>
    <row r="932" spans="1:13" x14ac:dyDescent="0.3">
      <c r="A932" t="s">
        <v>2238</v>
      </c>
      <c r="B932" t="s">
        <v>2239</v>
      </c>
      <c r="C932" t="s">
        <v>48</v>
      </c>
      <c r="D932" t="s">
        <v>12</v>
      </c>
      <c r="E932" s="2" t="s">
        <v>643</v>
      </c>
      <c r="F932">
        <v>26</v>
      </c>
      <c r="G932" t="s">
        <v>14</v>
      </c>
      <c r="H932" s="2" t="s">
        <v>2820</v>
      </c>
      <c r="J932" t="str">
        <f>IF(Table1[[#This Row],[Resolution_Date]]="NA","Unresolved","Resolved")</f>
        <v>Unresolved</v>
      </c>
      <c r="K932" t="str">
        <f>IF(Table1[[#This Row],[Resolution_Date]]="NA"," ",Table1[[#This Row],[Resolution_Date]]-Table1[[#This Row],[Complaint_Date]])</f>
        <v xml:space="preserve"> </v>
      </c>
      <c r="L932" t="str">
        <f>TEXT(Table1[[#This Row],[Complaint_Date]],"MMM")</f>
        <v>Sep</v>
      </c>
      <c r="M932" t="str">
        <f>IF(Table1[[#This Row],[Resolution_Time_Hours]]&lt;=24,"Fast",IF(Table1[[#This Row],[Resolution_Time_Hours]]&lt;=72,"Medium","Slow"))</f>
        <v>Medium</v>
      </c>
    </row>
    <row r="933" spans="1:13" x14ac:dyDescent="0.3">
      <c r="A933" t="s">
        <v>2240</v>
      </c>
      <c r="B933" t="s">
        <v>2241</v>
      </c>
      <c r="C933" t="s">
        <v>48</v>
      </c>
      <c r="D933" t="s">
        <v>18</v>
      </c>
      <c r="E933" s="2" t="s">
        <v>92</v>
      </c>
      <c r="F933">
        <v>15</v>
      </c>
      <c r="G933" t="s">
        <v>20</v>
      </c>
      <c r="H933" s="2" t="s">
        <v>92</v>
      </c>
      <c r="I933">
        <v>5</v>
      </c>
      <c r="J933" t="str">
        <f>IF(Table1[[#This Row],[Resolution_Date]]="NA","Unresolved","Resolved")</f>
        <v>Resolved</v>
      </c>
      <c r="K933">
        <f>IF(Table1[[#This Row],[Resolution_Date]]="NA"," ",Table1[[#This Row],[Resolution_Date]]-Table1[[#This Row],[Complaint_Date]])</f>
        <v>0</v>
      </c>
      <c r="L933" t="str">
        <f>TEXT(Table1[[#This Row],[Complaint_Date]],"MMM")</f>
        <v>Feb</v>
      </c>
      <c r="M933" t="str">
        <f>IF(Table1[[#This Row],[Resolution_Time_Hours]]&lt;=24,"Fast",IF(Table1[[#This Row],[Resolution_Time_Hours]]&lt;=72,"Medium","Slow"))</f>
        <v>Fast</v>
      </c>
    </row>
    <row r="934" spans="1:13" x14ac:dyDescent="0.3">
      <c r="A934" t="s">
        <v>2242</v>
      </c>
      <c r="B934" t="s">
        <v>2243</v>
      </c>
      <c r="C934" t="s">
        <v>11</v>
      </c>
      <c r="D934" t="s">
        <v>38</v>
      </c>
      <c r="E934" s="2" t="s">
        <v>893</v>
      </c>
      <c r="F934">
        <v>34</v>
      </c>
      <c r="G934" t="s">
        <v>20</v>
      </c>
      <c r="H934" s="2" t="s">
        <v>1613</v>
      </c>
      <c r="I934">
        <v>2</v>
      </c>
      <c r="J934" t="str">
        <f>IF(Table1[[#This Row],[Resolution_Date]]="NA","Unresolved","Resolved")</f>
        <v>Resolved</v>
      </c>
      <c r="K934">
        <f>IF(Table1[[#This Row],[Resolution_Date]]="NA"," ",Table1[[#This Row],[Resolution_Date]]-Table1[[#This Row],[Complaint_Date]])</f>
        <v>1</v>
      </c>
      <c r="L934" t="str">
        <f>TEXT(Table1[[#This Row],[Complaint_Date]],"MMM")</f>
        <v>Dec</v>
      </c>
      <c r="M934" t="str">
        <f>IF(Table1[[#This Row],[Resolution_Time_Hours]]&lt;=24,"Fast",IF(Table1[[#This Row],[Resolution_Time_Hours]]&lt;=72,"Medium","Slow"))</f>
        <v>Medium</v>
      </c>
    </row>
    <row r="935" spans="1:13" x14ac:dyDescent="0.3">
      <c r="A935" t="s">
        <v>2244</v>
      </c>
      <c r="B935" t="s">
        <v>2245</v>
      </c>
      <c r="C935" t="s">
        <v>48</v>
      </c>
      <c r="D935" t="s">
        <v>12</v>
      </c>
      <c r="E935" s="2" t="s">
        <v>205</v>
      </c>
      <c r="F935">
        <v>47</v>
      </c>
      <c r="G935" t="s">
        <v>20</v>
      </c>
      <c r="H935" s="2" t="s">
        <v>1109</v>
      </c>
      <c r="I935">
        <v>5</v>
      </c>
      <c r="J935" t="str">
        <f>IF(Table1[[#This Row],[Resolution_Date]]="NA","Unresolved","Resolved")</f>
        <v>Resolved</v>
      </c>
      <c r="K935">
        <f>IF(Table1[[#This Row],[Resolution_Date]]="NA"," ",Table1[[#This Row],[Resolution_Date]]-Table1[[#This Row],[Complaint_Date]])</f>
        <v>1</v>
      </c>
      <c r="L935" t="str">
        <f>TEXT(Table1[[#This Row],[Complaint_Date]],"MMM")</f>
        <v>Sep</v>
      </c>
      <c r="M935" t="str">
        <f>IF(Table1[[#This Row],[Resolution_Time_Hours]]&lt;=24,"Fast",IF(Table1[[#This Row],[Resolution_Time_Hours]]&lt;=72,"Medium","Slow"))</f>
        <v>Medium</v>
      </c>
    </row>
    <row r="936" spans="1:13" x14ac:dyDescent="0.3">
      <c r="A936" t="s">
        <v>2246</v>
      </c>
      <c r="B936" t="s">
        <v>2247</v>
      </c>
      <c r="C936" t="s">
        <v>11</v>
      </c>
      <c r="D936" t="s">
        <v>27</v>
      </c>
      <c r="E936" s="2" t="s">
        <v>525</v>
      </c>
      <c r="F936">
        <v>8</v>
      </c>
      <c r="G936" t="s">
        <v>20</v>
      </c>
      <c r="H936" s="2" t="s">
        <v>525</v>
      </c>
      <c r="I936">
        <v>4</v>
      </c>
      <c r="J936" t="str">
        <f>IF(Table1[[#This Row],[Resolution_Date]]="NA","Unresolved","Resolved")</f>
        <v>Resolved</v>
      </c>
      <c r="K936">
        <f>IF(Table1[[#This Row],[Resolution_Date]]="NA"," ",Table1[[#This Row],[Resolution_Date]]-Table1[[#This Row],[Complaint_Date]])</f>
        <v>0</v>
      </c>
      <c r="L936" t="str">
        <f>TEXT(Table1[[#This Row],[Complaint_Date]],"MMM")</f>
        <v>Mar</v>
      </c>
      <c r="M936" t="str">
        <f>IF(Table1[[#This Row],[Resolution_Time_Hours]]&lt;=24,"Fast",IF(Table1[[#This Row],[Resolution_Time_Hours]]&lt;=72,"Medium","Slow"))</f>
        <v>Fast</v>
      </c>
    </row>
    <row r="937" spans="1:13" x14ac:dyDescent="0.3">
      <c r="A937" t="s">
        <v>2248</v>
      </c>
      <c r="B937" t="s">
        <v>2249</v>
      </c>
      <c r="C937" t="s">
        <v>34</v>
      </c>
      <c r="D937" t="s">
        <v>95</v>
      </c>
      <c r="E937" s="2" t="s">
        <v>594</v>
      </c>
      <c r="F937">
        <v>86</v>
      </c>
      <c r="G937" t="s">
        <v>14</v>
      </c>
      <c r="H937" s="2" t="s">
        <v>2820</v>
      </c>
      <c r="J937" t="str">
        <f>IF(Table1[[#This Row],[Resolution_Date]]="NA","Unresolved","Resolved")</f>
        <v>Unresolved</v>
      </c>
      <c r="K937" t="str">
        <f>IF(Table1[[#This Row],[Resolution_Date]]="NA"," ",Table1[[#This Row],[Resolution_Date]]-Table1[[#This Row],[Complaint_Date]])</f>
        <v xml:space="preserve"> </v>
      </c>
      <c r="L937" t="str">
        <f>TEXT(Table1[[#This Row],[Complaint_Date]],"MMM")</f>
        <v>Apr</v>
      </c>
      <c r="M937" t="str">
        <f>IF(Table1[[#This Row],[Resolution_Time_Hours]]&lt;=24,"Fast",IF(Table1[[#This Row],[Resolution_Time_Hours]]&lt;=72,"Medium","Slow"))</f>
        <v>Slow</v>
      </c>
    </row>
    <row r="938" spans="1:13" x14ac:dyDescent="0.3">
      <c r="A938" t="s">
        <v>2250</v>
      </c>
      <c r="B938" t="s">
        <v>2251</v>
      </c>
      <c r="C938" t="s">
        <v>11</v>
      </c>
      <c r="D938" t="s">
        <v>95</v>
      </c>
      <c r="E938" s="2" t="s">
        <v>437</v>
      </c>
      <c r="F938">
        <v>47</v>
      </c>
      <c r="G938" t="s">
        <v>20</v>
      </c>
      <c r="H938" s="2" t="s">
        <v>1501</v>
      </c>
      <c r="I938">
        <v>2</v>
      </c>
      <c r="J938" t="str">
        <f>IF(Table1[[#This Row],[Resolution_Date]]="NA","Unresolved","Resolved")</f>
        <v>Resolved</v>
      </c>
      <c r="K938">
        <f>IF(Table1[[#This Row],[Resolution_Date]]="NA"," ",Table1[[#This Row],[Resolution_Date]]-Table1[[#This Row],[Complaint_Date]])</f>
        <v>1</v>
      </c>
      <c r="L938" t="str">
        <f>TEXT(Table1[[#This Row],[Complaint_Date]],"MMM")</f>
        <v>Oct</v>
      </c>
      <c r="M938" t="str">
        <f>IF(Table1[[#This Row],[Resolution_Time_Hours]]&lt;=24,"Fast",IF(Table1[[#This Row],[Resolution_Time_Hours]]&lt;=72,"Medium","Slow"))</f>
        <v>Medium</v>
      </c>
    </row>
    <row r="939" spans="1:13" x14ac:dyDescent="0.3">
      <c r="A939" t="s">
        <v>2252</v>
      </c>
      <c r="B939" t="s">
        <v>2253</v>
      </c>
      <c r="C939" t="s">
        <v>70</v>
      </c>
      <c r="D939" t="s">
        <v>12</v>
      </c>
      <c r="E939" s="2" t="s">
        <v>114</v>
      </c>
      <c r="F939">
        <v>13</v>
      </c>
      <c r="G939" t="s">
        <v>20</v>
      </c>
      <c r="H939" s="2" t="s">
        <v>114</v>
      </c>
      <c r="I939">
        <v>3</v>
      </c>
      <c r="J939" t="str">
        <f>IF(Table1[[#This Row],[Resolution_Date]]="NA","Unresolved","Resolved")</f>
        <v>Resolved</v>
      </c>
      <c r="K939">
        <f>IF(Table1[[#This Row],[Resolution_Date]]="NA"," ",Table1[[#This Row],[Resolution_Date]]-Table1[[#This Row],[Complaint_Date]])</f>
        <v>0</v>
      </c>
      <c r="L939" t="str">
        <f>TEXT(Table1[[#This Row],[Complaint_Date]],"MMM")</f>
        <v>Jan</v>
      </c>
      <c r="M939" t="str">
        <f>IF(Table1[[#This Row],[Resolution_Time_Hours]]&lt;=24,"Fast",IF(Table1[[#This Row],[Resolution_Time_Hours]]&lt;=72,"Medium","Slow"))</f>
        <v>Fast</v>
      </c>
    </row>
    <row r="940" spans="1:13" x14ac:dyDescent="0.3">
      <c r="A940" t="s">
        <v>2254</v>
      </c>
      <c r="B940" t="s">
        <v>2255</v>
      </c>
      <c r="C940" t="s">
        <v>43</v>
      </c>
      <c r="D940" t="s">
        <v>12</v>
      </c>
      <c r="E940" s="2" t="s">
        <v>729</v>
      </c>
      <c r="F940">
        <v>64</v>
      </c>
      <c r="G940" t="s">
        <v>20</v>
      </c>
      <c r="H940" s="2" t="s">
        <v>336</v>
      </c>
      <c r="I940">
        <v>1</v>
      </c>
      <c r="J940" t="str">
        <f>IF(Table1[[#This Row],[Resolution_Date]]="NA","Unresolved","Resolved")</f>
        <v>Resolved</v>
      </c>
      <c r="K940">
        <f>IF(Table1[[#This Row],[Resolution_Date]]="NA"," ",Table1[[#This Row],[Resolution_Date]]-Table1[[#This Row],[Complaint_Date]])</f>
        <v>2</v>
      </c>
      <c r="L940" t="str">
        <f>TEXT(Table1[[#This Row],[Complaint_Date]],"MMM")</f>
        <v>Oct</v>
      </c>
      <c r="M940" t="str">
        <f>IF(Table1[[#This Row],[Resolution_Time_Hours]]&lt;=24,"Fast",IF(Table1[[#This Row],[Resolution_Time_Hours]]&lt;=72,"Medium","Slow"))</f>
        <v>Medium</v>
      </c>
    </row>
    <row r="941" spans="1:13" x14ac:dyDescent="0.3">
      <c r="A941" t="s">
        <v>2256</v>
      </c>
      <c r="B941" t="s">
        <v>2257</v>
      </c>
      <c r="C941" t="s">
        <v>17</v>
      </c>
      <c r="D941" t="s">
        <v>38</v>
      </c>
      <c r="E941" s="2" t="s">
        <v>2148</v>
      </c>
      <c r="F941">
        <v>14</v>
      </c>
      <c r="G941" t="s">
        <v>20</v>
      </c>
      <c r="H941" s="2" t="s">
        <v>2148</v>
      </c>
      <c r="I941">
        <v>3</v>
      </c>
      <c r="J941" t="str">
        <f>IF(Table1[[#This Row],[Resolution_Date]]="NA","Unresolved","Resolved")</f>
        <v>Resolved</v>
      </c>
      <c r="K941">
        <f>IF(Table1[[#This Row],[Resolution_Date]]="NA"," ",Table1[[#This Row],[Resolution_Date]]-Table1[[#This Row],[Complaint_Date]])</f>
        <v>0</v>
      </c>
      <c r="L941" t="str">
        <f>TEXT(Table1[[#This Row],[Complaint_Date]],"MMM")</f>
        <v>Oct</v>
      </c>
      <c r="M941" t="str">
        <f>IF(Table1[[#This Row],[Resolution_Time_Hours]]&lt;=24,"Fast",IF(Table1[[#This Row],[Resolution_Time_Hours]]&lt;=72,"Medium","Slow"))</f>
        <v>Fast</v>
      </c>
    </row>
    <row r="942" spans="1:13" x14ac:dyDescent="0.3">
      <c r="A942" t="s">
        <v>2258</v>
      </c>
      <c r="B942" t="s">
        <v>2259</v>
      </c>
      <c r="C942" t="s">
        <v>11</v>
      </c>
      <c r="D942" t="s">
        <v>18</v>
      </c>
      <c r="E942" s="2" t="s">
        <v>241</v>
      </c>
      <c r="F942">
        <v>15</v>
      </c>
      <c r="G942" t="s">
        <v>20</v>
      </c>
      <c r="H942" s="2" t="s">
        <v>241</v>
      </c>
      <c r="I942">
        <v>3</v>
      </c>
      <c r="J942" t="str">
        <f>IF(Table1[[#This Row],[Resolution_Date]]="NA","Unresolved","Resolved")</f>
        <v>Resolved</v>
      </c>
      <c r="K942">
        <f>IF(Table1[[#This Row],[Resolution_Date]]="NA"," ",Table1[[#This Row],[Resolution_Date]]-Table1[[#This Row],[Complaint_Date]])</f>
        <v>0</v>
      </c>
      <c r="L942" t="str">
        <f>TEXT(Table1[[#This Row],[Complaint_Date]],"MMM")</f>
        <v>Jun</v>
      </c>
      <c r="M942" t="str">
        <f>IF(Table1[[#This Row],[Resolution_Time_Hours]]&lt;=24,"Fast",IF(Table1[[#This Row],[Resolution_Time_Hours]]&lt;=72,"Medium","Slow"))</f>
        <v>Fast</v>
      </c>
    </row>
    <row r="943" spans="1:13" x14ac:dyDescent="0.3">
      <c r="A943" t="s">
        <v>2260</v>
      </c>
      <c r="B943" t="s">
        <v>2261</v>
      </c>
      <c r="C943" t="s">
        <v>34</v>
      </c>
      <c r="D943" t="s">
        <v>95</v>
      </c>
      <c r="E943" s="2" t="s">
        <v>988</v>
      </c>
      <c r="F943">
        <v>72</v>
      </c>
      <c r="G943" t="s">
        <v>20</v>
      </c>
      <c r="H943" s="2" t="s">
        <v>373</v>
      </c>
      <c r="I943">
        <v>1</v>
      </c>
      <c r="J943" t="str">
        <f>IF(Table1[[#This Row],[Resolution_Date]]="NA","Unresolved","Resolved")</f>
        <v>Resolved</v>
      </c>
      <c r="K943">
        <f>IF(Table1[[#This Row],[Resolution_Date]]="NA"," ",Table1[[#This Row],[Resolution_Date]]-Table1[[#This Row],[Complaint_Date]])</f>
        <v>3</v>
      </c>
      <c r="L943" t="str">
        <f>TEXT(Table1[[#This Row],[Complaint_Date]],"MMM")</f>
        <v>Sep</v>
      </c>
      <c r="M943" t="str">
        <f>IF(Table1[[#This Row],[Resolution_Time_Hours]]&lt;=24,"Fast",IF(Table1[[#This Row],[Resolution_Time_Hours]]&lt;=72,"Medium","Slow"))</f>
        <v>Medium</v>
      </c>
    </row>
    <row r="944" spans="1:13" x14ac:dyDescent="0.3">
      <c r="A944" t="s">
        <v>2262</v>
      </c>
      <c r="B944" t="s">
        <v>2263</v>
      </c>
      <c r="C944" t="s">
        <v>70</v>
      </c>
      <c r="D944" t="s">
        <v>18</v>
      </c>
      <c r="E944" s="2" t="s">
        <v>832</v>
      </c>
      <c r="F944">
        <v>7</v>
      </c>
      <c r="G944" t="s">
        <v>20</v>
      </c>
      <c r="H944" s="2" t="s">
        <v>832</v>
      </c>
      <c r="I944">
        <v>4</v>
      </c>
      <c r="J944" t="str">
        <f>IF(Table1[[#This Row],[Resolution_Date]]="NA","Unresolved","Resolved")</f>
        <v>Resolved</v>
      </c>
      <c r="K944">
        <f>IF(Table1[[#This Row],[Resolution_Date]]="NA"," ",Table1[[#This Row],[Resolution_Date]]-Table1[[#This Row],[Complaint_Date]])</f>
        <v>0</v>
      </c>
      <c r="L944" t="str">
        <f>TEXT(Table1[[#This Row],[Complaint_Date]],"MMM")</f>
        <v>Aug</v>
      </c>
      <c r="M944" t="str">
        <f>IF(Table1[[#This Row],[Resolution_Time_Hours]]&lt;=24,"Fast",IF(Table1[[#This Row],[Resolution_Time_Hours]]&lt;=72,"Medium","Slow"))</f>
        <v>Fast</v>
      </c>
    </row>
    <row r="945" spans="1:13" x14ac:dyDescent="0.3">
      <c r="A945" t="s">
        <v>2264</v>
      </c>
      <c r="B945" t="s">
        <v>2265</v>
      </c>
      <c r="C945" t="s">
        <v>53</v>
      </c>
      <c r="D945" t="s">
        <v>27</v>
      </c>
      <c r="E945" s="2" t="s">
        <v>342</v>
      </c>
      <c r="F945">
        <v>6</v>
      </c>
      <c r="G945" t="s">
        <v>40</v>
      </c>
      <c r="H945" s="2" t="s">
        <v>2820</v>
      </c>
      <c r="J945" t="str">
        <f>IF(Table1[[#This Row],[Resolution_Date]]="NA","Unresolved","Resolved")</f>
        <v>Unresolved</v>
      </c>
      <c r="K945" t="str">
        <f>IF(Table1[[#This Row],[Resolution_Date]]="NA"," ",Table1[[#This Row],[Resolution_Date]]-Table1[[#This Row],[Complaint_Date]])</f>
        <v xml:space="preserve"> </v>
      </c>
      <c r="L945" t="str">
        <f>TEXT(Table1[[#This Row],[Complaint_Date]],"MMM")</f>
        <v>Sep</v>
      </c>
      <c r="M945" t="str">
        <f>IF(Table1[[#This Row],[Resolution_Time_Hours]]&lt;=24,"Fast",IF(Table1[[#This Row],[Resolution_Time_Hours]]&lt;=72,"Medium","Slow"))</f>
        <v>Fast</v>
      </c>
    </row>
    <row r="946" spans="1:13" x14ac:dyDescent="0.3">
      <c r="A946" t="s">
        <v>2266</v>
      </c>
      <c r="B946" t="s">
        <v>2267</v>
      </c>
      <c r="C946" t="s">
        <v>43</v>
      </c>
      <c r="D946" t="s">
        <v>18</v>
      </c>
      <c r="E946" s="2" t="s">
        <v>363</v>
      </c>
      <c r="F946">
        <v>46</v>
      </c>
      <c r="G946" t="s">
        <v>20</v>
      </c>
      <c r="H946" s="2" t="s">
        <v>329</v>
      </c>
      <c r="I946">
        <v>2</v>
      </c>
      <c r="J946" t="str">
        <f>IF(Table1[[#This Row],[Resolution_Date]]="NA","Unresolved","Resolved")</f>
        <v>Resolved</v>
      </c>
      <c r="K946">
        <f>IF(Table1[[#This Row],[Resolution_Date]]="NA"," ",Table1[[#This Row],[Resolution_Date]]-Table1[[#This Row],[Complaint_Date]])</f>
        <v>1</v>
      </c>
      <c r="L946" t="str">
        <f>TEXT(Table1[[#This Row],[Complaint_Date]],"MMM")</f>
        <v>Nov</v>
      </c>
      <c r="M946" t="str">
        <f>IF(Table1[[#This Row],[Resolution_Time_Hours]]&lt;=24,"Fast",IF(Table1[[#This Row],[Resolution_Time_Hours]]&lt;=72,"Medium","Slow"))</f>
        <v>Medium</v>
      </c>
    </row>
    <row r="947" spans="1:13" x14ac:dyDescent="0.3">
      <c r="A947" t="s">
        <v>2268</v>
      </c>
      <c r="B947" t="s">
        <v>2269</v>
      </c>
      <c r="C947" t="s">
        <v>53</v>
      </c>
      <c r="D947" t="s">
        <v>18</v>
      </c>
      <c r="E947" s="2" t="s">
        <v>121</v>
      </c>
      <c r="F947">
        <v>4</v>
      </c>
      <c r="G947" t="s">
        <v>20</v>
      </c>
      <c r="H947" s="2" t="s">
        <v>121</v>
      </c>
      <c r="I947">
        <v>5</v>
      </c>
      <c r="J947" t="str">
        <f>IF(Table1[[#This Row],[Resolution_Date]]="NA","Unresolved","Resolved")</f>
        <v>Resolved</v>
      </c>
      <c r="K947">
        <f>IF(Table1[[#This Row],[Resolution_Date]]="NA"," ",Table1[[#This Row],[Resolution_Date]]-Table1[[#This Row],[Complaint_Date]])</f>
        <v>0</v>
      </c>
      <c r="L947" t="str">
        <f>TEXT(Table1[[#This Row],[Complaint_Date]],"MMM")</f>
        <v>Aug</v>
      </c>
      <c r="M947" t="str">
        <f>IF(Table1[[#This Row],[Resolution_Time_Hours]]&lt;=24,"Fast",IF(Table1[[#This Row],[Resolution_Time_Hours]]&lt;=72,"Medium","Slow"))</f>
        <v>Fast</v>
      </c>
    </row>
    <row r="948" spans="1:13" x14ac:dyDescent="0.3">
      <c r="A948" t="s">
        <v>2270</v>
      </c>
      <c r="B948" t="s">
        <v>2271</v>
      </c>
      <c r="C948" t="s">
        <v>53</v>
      </c>
      <c r="D948" t="s">
        <v>95</v>
      </c>
      <c r="E948" s="2" t="s">
        <v>695</v>
      </c>
      <c r="F948">
        <v>7</v>
      </c>
      <c r="G948" t="s">
        <v>20</v>
      </c>
      <c r="H948" s="2" t="s">
        <v>695</v>
      </c>
      <c r="I948">
        <v>4</v>
      </c>
      <c r="J948" t="str">
        <f>IF(Table1[[#This Row],[Resolution_Date]]="NA","Unresolved","Resolved")</f>
        <v>Resolved</v>
      </c>
      <c r="K948">
        <f>IF(Table1[[#This Row],[Resolution_Date]]="NA"," ",Table1[[#This Row],[Resolution_Date]]-Table1[[#This Row],[Complaint_Date]])</f>
        <v>0</v>
      </c>
      <c r="L948" t="str">
        <f>TEXT(Table1[[#This Row],[Complaint_Date]],"MMM")</f>
        <v>Feb</v>
      </c>
      <c r="M948" t="str">
        <f>IF(Table1[[#This Row],[Resolution_Time_Hours]]&lt;=24,"Fast",IF(Table1[[#This Row],[Resolution_Time_Hours]]&lt;=72,"Medium","Slow"))</f>
        <v>Fast</v>
      </c>
    </row>
    <row r="949" spans="1:13" x14ac:dyDescent="0.3">
      <c r="A949" t="s">
        <v>2272</v>
      </c>
      <c r="B949" t="s">
        <v>2273</v>
      </c>
      <c r="C949" t="s">
        <v>48</v>
      </c>
      <c r="D949" t="s">
        <v>95</v>
      </c>
      <c r="E949" s="2" t="s">
        <v>753</v>
      </c>
      <c r="F949">
        <v>50</v>
      </c>
      <c r="G949" t="s">
        <v>20</v>
      </c>
      <c r="H949" s="2" t="s">
        <v>517</v>
      </c>
      <c r="I949">
        <v>1</v>
      </c>
      <c r="J949" t="str">
        <f>IF(Table1[[#This Row],[Resolution_Date]]="NA","Unresolved","Resolved")</f>
        <v>Resolved</v>
      </c>
      <c r="K949">
        <f>IF(Table1[[#This Row],[Resolution_Date]]="NA"," ",Table1[[#This Row],[Resolution_Date]]-Table1[[#This Row],[Complaint_Date]])</f>
        <v>2</v>
      </c>
      <c r="L949" t="str">
        <f>TEXT(Table1[[#This Row],[Complaint_Date]],"MMM")</f>
        <v>Feb</v>
      </c>
      <c r="M949" t="str">
        <f>IF(Table1[[#This Row],[Resolution_Time_Hours]]&lt;=24,"Fast",IF(Table1[[#This Row],[Resolution_Time_Hours]]&lt;=72,"Medium","Slow"))</f>
        <v>Medium</v>
      </c>
    </row>
    <row r="950" spans="1:13" x14ac:dyDescent="0.3">
      <c r="A950" t="s">
        <v>2274</v>
      </c>
      <c r="B950" t="s">
        <v>2275</v>
      </c>
      <c r="C950" t="s">
        <v>110</v>
      </c>
      <c r="D950" t="s">
        <v>12</v>
      </c>
      <c r="E950" s="2" t="s">
        <v>173</v>
      </c>
      <c r="F950">
        <v>3</v>
      </c>
      <c r="G950" t="s">
        <v>14</v>
      </c>
      <c r="H950" s="2" t="s">
        <v>2820</v>
      </c>
      <c r="J950" t="str">
        <f>IF(Table1[[#This Row],[Resolution_Date]]="NA","Unresolved","Resolved")</f>
        <v>Unresolved</v>
      </c>
      <c r="K950" t="str">
        <f>IF(Table1[[#This Row],[Resolution_Date]]="NA"," ",Table1[[#This Row],[Resolution_Date]]-Table1[[#This Row],[Complaint_Date]])</f>
        <v xml:space="preserve"> </v>
      </c>
      <c r="L950" t="str">
        <f>TEXT(Table1[[#This Row],[Complaint_Date]],"MMM")</f>
        <v>Dec</v>
      </c>
      <c r="M950" t="str">
        <f>IF(Table1[[#This Row],[Resolution_Time_Hours]]&lt;=24,"Fast",IF(Table1[[#This Row],[Resolution_Time_Hours]]&lt;=72,"Medium","Slow"))</f>
        <v>Fast</v>
      </c>
    </row>
    <row r="951" spans="1:13" x14ac:dyDescent="0.3">
      <c r="A951" t="s">
        <v>2276</v>
      </c>
      <c r="B951" t="s">
        <v>2277</v>
      </c>
      <c r="C951" t="s">
        <v>48</v>
      </c>
      <c r="D951" t="s">
        <v>38</v>
      </c>
      <c r="E951" s="2" t="s">
        <v>250</v>
      </c>
      <c r="F951">
        <v>22</v>
      </c>
      <c r="G951" t="s">
        <v>20</v>
      </c>
      <c r="H951" s="2" t="s">
        <v>250</v>
      </c>
      <c r="I951">
        <v>3</v>
      </c>
      <c r="J951" t="str">
        <f>IF(Table1[[#This Row],[Resolution_Date]]="NA","Unresolved","Resolved")</f>
        <v>Resolved</v>
      </c>
      <c r="K951">
        <f>IF(Table1[[#This Row],[Resolution_Date]]="NA"," ",Table1[[#This Row],[Resolution_Date]]-Table1[[#This Row],[Complaint_Date]])</f>
        <v>0</v>
      </c>
      <c r="L951" t="str">
        <f>TEXT(Table1[[#This Row],[Complaint_Date]],"MMM")</f>
        <v>Feb</v>
      </c>
      <c r="M951" t="str">
        <f>IF(Table1[[#This Row],[Resolution_Time_Hours]]&lt;=24,"Fast",IF(Table1[[#This Row],[Resolution_Time_Hours]]&lt;=72,"Medium","Slow"))</f>
        <v>Fast</v>
      </c>
    </row>
    <row r="952" spans="1:13" x14ac:dyDescent="0.3">
      <c r="A952" t="s">
        <v>2278</v>
      </c>
      <c r="B952" t="s">
        <v>2279</v>
      </c>
      <c r="C952" t="s">
        <v>17</v>
      </c>
      <c r="D952" t="s">
        <v>95</v>
      </c>
      <c r="E952" s="2" t="s">
        <v>82</v>
      </c>
      <c r="F952">
        <v>32</v>
      </c>
      <c r="G952" t="s">
        <v>14</v>
      </c>
      <c r="H952" s="2" t="s">
        <v>2820</v>
      </c>
      <c r="J952" t="str">
        <f>IF(Table1[[#This Row],[Resolution_Date]]="NA","Unresolved","Resolved")</f>
        <v>Unresolved</v>
      </c>
      <c r="K952" t="str">
        <f>IF(Table1[[#This Row],[Resolution_Date]]="NA"," ",Table1[[#This Row],[Resolution_Date]]-Table1[[#This Row],[Complaint_Date]])</f>
        <v xml:space="preserve"> </v>
      </c>
      <c r="L952" t="str">
        <f>TEXT(Table1[[#This Row],[Complaint_Date]],"MMM")</f>
        <v>Sep</v>
      </c>
      <c r="M952" t="str">
        <f>IF(Table1[[#This Row],[Resolution_Time_Hours]]&lt;=24,"Fast",IF(Table1[[#This Row],[Resolution_Time_Hours]]&lt;=72,"Medium","Slow"))</f>
        <v>Medium</v>
      </c>
    </row>
    <row r="953" spans="1:13" x14ac:dyDescent="0.3">
      <c r="A953" t="s">
        <v>2280</v>
      </c>
      <c r="B953" t="s">
        <v>2281</v>
      </c>
      <c r="C953" t="s">
        <v>11</v>
      </c>
      <c r="D953" t="s">
        <v>38</v>
      </c>
      <c r="E953" s="2" t="s">
        <v>1042</v>
      </c>
      <c r="F953">
        <v>16</v>
      </c>
      <c r="G953" t="s">
        <v>14</v>
      </c>
      <c r="H953" s="2" t="s">
        <v>2820</v>
      </c>
      <c r="J953" t="str">
        <f>IF(Table1[[#This Row],[Resolution_Date]]="NA","Unresolved","Resolved")</f>
        <v>Unresolved</v>
      </c>
      <c r="K953" t="str">
        <f>IF(Table1[[#This Row],[Resolution_Date]]="NA"," ",Table1[[#This Row],[Resolution_Date]]-Table1[[#This Row],[Complaint_Date]])</f>
        <v xml:space="preserve"> </v>
      </c>
      <c r="L953" t="str">
        <f>TEXT(Table1[[#This Row],[Complaint_Date]],"MMM")</f>
        <v>Feb</v>
      </c>
      <c r="M953" t="str">
        <f>IF(Table1[[#This Row],[Resolution_Time_Hours]]&lt;=24,"Fast",IF(Table1[[#This Row],[Resolution_Time_Hours]]&lt;=72,"Medium","Slow"))</f>
        <v>Fast</v>
      </c>
    </row>
    <row r="954" spans="1:13" x14ac:dyDescent="0.3">
      <c r="A954" t="s">
        <v>2282</v>
      </c>
      <c r="B954" t="s">
        <v>2283</v>
      </c>
      <c r="C954" t="s">
        <v>17</v>
      </c>
      <c r="D954" t="s">
        <v>27</v>
      </c>
      <c r="E954" s="2" t="s">
        <v>572</v>
      </c>
      <c r="F954">
        <v>23</v>
      </c>
      <c r="G954" t="s">
        <v>40</v>
      </c>
      <c r="H954" s="2" t="s">
        <v>2820</v>
      </c>
      <c r="J954" t="str">
        <f>IF(Table1[[#This Row],[Resolution_Date]]="NA","Unresolved","Resolved")</f>
        <v>Unresolved</v>
      </c>
      <c r="K954" t="str">
        <f>IF(Table1[[#This Row],[Resolution_Date]]="NA"," ",Table1[[#This Row],[Resolution_Date]]-Table1[[#This Row],[Complaint_Date]])</f>
        <v xml:space="preserve"> </v>
      </c>
      <c r="L954" t="str">
        <f>TEXT(Table1[[#This Row],[Complaint_Date]],"MMM")</f>
        <v>May</v>
      </c>
      <c r="M954" t="str">
        <f>IF(Table1[[#This Row],[Resolution_Time_Hours]]&lt;=24,"Fast",IF(Table1[[#This Row],[Resolution_Time_Hours]]&lt;=72,"Medium","Slow"))</f>
        <v>Fast</v>
      </c>
    </row>
    <row r="955" spans="1:13" x14ac:dyDescent="0.3">
      <c r="A955" t="s">
        <v>2284</v>
      </c>
      <c r="B955" t="s">
        <v>2285</v>
      </c>
      <c r="C955" t="s">
        <v>53</v>
      </c>
      <c r="D955" t="s">
        <v>95</v>
      </c>
      <c r="E955" s="2" t="s">
        <v>74</v>
      </c>
      <c r="F955">
        <v>9</v>
      </c>
      <c r="G955" t="s">
        <v>20</v>
      </c>
      <c r="H955" s="2" t="s">
        <v>74</v>
      </c>
      <c r="I955">
        <v>4</v>
      </c>
      <c r="J955" t="str">
        <f>IF(Table1[[#This Row],[Resolution_Date]]="NA","Unresolved","Resolved")</f>
        <v>Resolved</v>
      </c>
      <c r="K955">
        <f>IF(Table1[[#This Row],[Resolution_Date]]="NA"," ",Table1[[#This Row],[Resolution_Date]]-Table1[[#This Row],[Complaint_Date]])</f>
        <v>0</v>
      </c>
      <c r="L955" t="str">
        <f>TEXT(Table1[[#This Row],[Complaint_Date]],"MMM")</f>
        <v>Aug</v>
      </c>
      <c r="M955" t="str">
        <f>IF(Table1[[#This Row],[Resolution_Time_Hours]]&lt;=24,"Fast",IF(Table1[[#This Row],[Resolution_Time_Hours]]&lt;=72,"Medium","Slow"))</f>
        <v>Fast</v>
      </c>
    </row>
    <row r="956" spans="1:13" x14ac:dyDescent="0.3">
      <c r="A956" t="s">
        <v>2286</v>
      </c>
      <c r="B956" t="s">
        <v>2287</v>
      </c>
      <c r="C956" t="s">
        <v>34</v>
      </c>
      <c r="D956" t="s">
        <v>18</v>
      </c>
      <c r="E956" s="2" t="s">
        <v>1140</v>
      </c>
      <c r="F956">
        <v>76</v>
      </c>
      <c r="G956" t="s">
        <v>20</v>
      </c>
      <c r="H956" s="2" t="s">
        <v>392</v>
      </c>
      <c r="I956">
        <v>1</v>
      </c>
      <c r="J956" t="str">
        <f>IF(Table1[[#This Row],[Resolution_Date]]="NA","Unresolved","Resolved")</f>
        <v>Resolved</v>
      </c>
      <c r="K956">
        <f>IF(Table1[[#This Row],[Resolution_Date]]="NA"," ",Table1[[#This Row],[Resolution_Date]]-Table1[[#This Row],[Complaint_Date]])</f>
        <v>3</v>
      </c>
      <c r="L956" t="str">
        <f>TEXT(Table1[[#This Row],[Complaint_Date]],"MMM")</f>
        <v>Aug</v>
      </c>
      <c r="M956" t="str">
        <f>IF(Table1[[#This Row],[Resolution_Time_Hours]]&lt;=24,"Fast",IF(Table1[[#This Row],[Resolution_Time_Hours]]&lt;=72,"Medium","Slow"))</f>
        <v>Slow</v>
      </c>
    </row>
    <row r="957" spans="1:13" x14ac:dyDescent="0.3">
      <c r="A957" t="s">
        <v>2288</v>
      </c>
      <c r="B957" t="s">
        <v>2289</v>
      </c>
      <c r="C957" t="s">
        <v>70</v>
      </c>
      <c r="D957" t="s">
        <v>12</v>
      </c>
      <c r="E957" s="2" t="s">
        <v>671</v>
      </c>
      <c r="F957">
        <v>21</v>
      </c>
      <c r="G957" t="s">
        <v>20</v>
      </c>
      <c r="H957" s="2" t="s">
        <v>671</v>
      </c>
      <c r="I957">
        <v>3</v>
      </c>
      <c r="J957" t="str">
        <f>IF(Table1[[#This Row],[Resolution_Date]]="NA","Unresolved","Resolved")</f>
        <v>Resolved</v>
      </c>
      <c r="K957">
        <f>IF(Table1[[#This Row],[Resolution_Date]]="NA"," ",Table1[[#This Row],[Resolution_Date]]-Table1[[#This Row],[Complaint_Date]])</f>
        <v>0</v>
      </c>
      <c r="L957" t="str">
        <f>TEXT(Table1[[#This Row],[Complaint_Date]],"MMM")</f>
        <v>Aug</v>
      </c>
      <c r="M957" t="str">
        <f>IF(Table1[[#This Row],[Resolution_Time_Hours]]&lt;=24,"Fast",IF(Table1[[#This Row],[Resolution_Time_Hours]]&lt;=72,"Medium","Slow"))</f>
        <v>Fast</v>
      </c>
    </row>
    <row r="958" spans="1:13" x14ac:dyDescent="0.3">
      <c r="A958" t="s">
        <v>2290</v>
      </c>
      <c r="B958" t="s">
        <v>2291</v>
      </c>
      <c r="C958" t="s">
        <v>70</v>
      </c>
      <c r="D958" t="s">
        <v>27</v>
      </c>
      <c r="E958" s="2" t="s">
        <v>763</v>
      </c>
      <c r="F958">
        <v>3</v>
      </c>
      <c r="G958" t="s">
        <v>20</v>
      </c>
      <c r="H958" s="2" t="s">
        <v>763</v>
      </c>
      <c r="I958">
        <v>5</v>
      </c>
      <c r="J958" t="str">
        <f>IF(Table1[[#This Row],[Resolution_Date]]="NA","Unresolved","Resolved")</f>
        <v>Resolved</v>
      </c>
      <c r="K958">
        <f>IF(Table1[[#This Row],[Resolution_Date]]="NA"," ",Table1[[#This Row],[Resolution_Date]]-Table1[[#This Row],[Complaint_Date]])</f>
        <v>0</v>
      </c>
      <c r="L958" t="str">
        <f>TEXT(Table1[[#This Row],[Complaint_Date]],"MMM")</f>
        <v>Sep</v>
      </c>
      <c r="M958" t="str">
        <f>IF(Table1[[#This Row],[Resolution_Time_Hours]]&lt;=24,"Fast",IF(Table1[[#This Row],[Resolution_Time_Hours]]&lt;=72,"Medium","Slow"))</f>
        <v>Fast</v>
      </c>
    </row>
    <row r="959" spans="1:13" x14ac:dyDescent="0.3">
      <c r="A959" t="s">
        <v>2292</v>
      </c>
      <c r="B959" t="s">
        <v>2293</v>
      </c>
      <c r="C959" t="s">
        <v>70</v>
      </c>
      <c r="D959" t="s">
        <v>27</v>
      </c>
      <c r="E959" s="2" t="s">
        <v>1042</v>
      </c>
      <c r="F959">
        <v>8</v>
      </c>
      <c r="G959" t="s">
        <v>20</v>
      </c>
      <c r="H959" s="2" t="s">
        <v>1042</v>
      </c>
      <c r="I959">
        <v>4</v>
      </c>
      <c r="J959" t="str">
        <f>IF(Table1[[#This Row],[Resolution_Date]]="NA","Unresolved","Resolved")</f>
        <v>Resolved</v>
      </c>
      <c r="K959">
        <f>IF(Table1[[#This Row],[Resolution_Date]]="NA"," ",Table1[[#This Row],[Resolution_Date]]-Table1[[#This Row],[Complaint_Date]])</f>
        <v>0</v>
      </c>
      <c r="L959" t="str">
        <f>TEXT(Table1[[#This Row],[Complaint_Date]],"MMM")</f>
        <v>Feb</v>
      </c>
      <c r="M959" t="str">
        <f>IF(Table1[[#This Row],[Resolution_Time_Hours]]&lt;=24,"Fast",IF(Table1[[#This Row],[Resolution_Time_Hours]]&lt;=72,"Medium","Slow"))</f>
        <v>Fast</v>
      </c>
    </row>
    <row r="960" spans="1:13" x14ac:dyDescent="0.3">
      <c r="A960" t="s">
        <v>2294</v>
      </c>
      <c r="B960" t="s">
        <v>2295</v>
      </c>
      <c r="C960" t="s">
        <v>17</v>
      </c>
      <c r="D960" t="s">
        <v>38</v>
      </c>
      <c r="E960" s="2" t="s">
        <v>466</v>
      </c>
      <c r="F960">
        <v>14</v>
      </c>
      <c r="G960" t="s">
        <v>20</v>
      </c>
      <c r="H960" s="2" t="s">
        <v>466</v>
      </c>
      <c r="I960">
        <v>3</v>
      </c>
      <c r="J960" t="str">
        <f>IF(Table1[[#This Row],[Resolution_Date]]="NA","Unresolved","Resolved")</f>
        <v>Resolved</v>
      </c>
      <c r="K960">
        <f>IF(Table1[[#This Row],[Resolution_Date]]="NA"," ",Table1[[#This Row],[Resolution_Date]]-Table1[[#This Row],[Complaint_Date]])</f>
        <v>0</v>
      </c>
      <c r="L960" t="str">
        <f>TEXT(Table1[[#This Row],[Complaint_Date]],"MMM")</f>
        <v>Dec</v>
      </c>
      <c r="M960" t="str">
        <f>IF(Table1[[#This Row],[Resolution_Time_Hours]]&lt;=24,"Fast",IF(Table1[[#This Row],[Resolution_Time_Hours]]&lt;=72,"Medium","Slow"))</f>
        <v>Fast</v>
      </c>
    </row>
    <row r="961" spans="1:13" x14ac:dyDescent="0.3">
      <c r="A961" t="s">
        <v>2296</v>
      </c>
      <c r="B961" t="s">
        <v>2297</v>
      </c>
      <c r="C961" t="s">
        <v>34</v>
      </c>
      <c r="D961" t="s">
        <v>27</v>
      </c>
      <c r="E961" s="2" t="s">
        <v>1240</v>
      </c>
      <c r="F961">
        <v>84</v>
      </c>
      <c r="G961" t="s">
        <v>14</v>
      </c>
      <c r="H961" s="2" t="s">
        <v>2820</v>
      </c>
      <c r="J961" t="str">
        <f>IF(Table1[[#This Row],[Resolution_Date]]="NA","Unresolved","Resolved")</f>
        <v>Unresolved</v>
      </c>
      <c r="K961" t="str">
        <f>IF(Table1[[#This Row],[Resolution_Date]]="NA"," ",Table1[[#This Row],[Resolution_Date]]-Table1[[#This Row],[Complaint_Date]])</f>
        <v xml:space="preserve"> </v>
      </c>
      <c r="L961" t="str">
        <f>TEXT(Table1[[#This Row],[Complaint_Date]],"MMM")</f>
        <v>Jan</v>
      </c>
      <c r="M961" t="str">
        <f>IF(Table1[[#This Row],[Resolution_Time_Hours]]&lt;=24,"Fast",IF(Table1[[#This Row],[Resolution_Time_Hours]]&lt;=72,"Medium","Slow"))</f>
        <v>Slow</v>
      </c>
    </row>
    <row r="962" spans="1:13" x14ac:dyDescent="0.3">
      <c r="A962" t="s">
        <v>2298</v>
      </c>
      <c r="B962" t="s">
        <v>2299</v>
      </c>
      <c r="C962" t="s">
        <v>43</v>
      </c>
      <c r="D962" t="s">
        <v>38</v>
      </c>
      <c r="E962" s="2" t="s">
        <v>146</v>
      </c>
      <c r="F962">
        <v>45</v>
      </c>
      <c r="G962" t="s">
        <v>20</v>
      </c>
      <c r="H962" s="2" t="s">
        <v>147</v>
      </c>
      <c r="I962">
        <v>2</v>
      </c>
      <c r="J962" t="str">
        <f>IF(Table1[[#This Row],[Resolution_Date]]="NA","Unresolved","Resolved")</f>
        <v>Resolved</v>
      </c>
      <c r="K962">
        <f>IF(Table1[[#This Row],[Resolution_Date]]="NA"," ",Table1[[#This Row],[Resolution_Date]]-Table1[[#This Row],[Complaint_Date]])</f>
        <v>1</v>
      </c>
      <c r="L962" t="str">
        <f>TEXT(Table1[[#This Row],[Complaint_Date]],"MMM")</f>
        <v>Aug</v>
      </c>
      <c r="M962" t="str">
        <f>IF(Table1[[#This Row],[Resolution_Time_Hours]]&lt;=24,"Fast",IF(Table1[[#This Row],[Resolution_Time_Hours]]&lt;=72,"Medium","Slow"))</f>
        <v>Medium</v>
      </c>
    </row>
    <row r="963" spans="1:13" x14ac:dyDescent="0.3">
      <c r="A963" t="s">
        <v>2300</v>
      </c>
      <c r="B963" t="s">
        <v>2301</v>
      </c>
      <c r="C963" t="s">
        <v>17</v>
      </c>
      <c r="D963" t="s">
        <v>18</v>
      </c>
      <c r="E963" s="2" t="s">
        <v>431</v>
      </c>
      <c r="F963">
        <v>31</v>
      </c>
      <c r="G963" t="s">
        <v>20</v>
      </c>
      <c r="H963" s="2" t="s">
        <v>446</v>
      </c>
      <c r="I963">
        <v>5</v>
      </c>
      <c r="J963" t="str">
        <f>IF(Table1[[#This Row],[Resolution_Date]]="NA","Unresolved","Resolved")</f>
        <v>Resolved</v>
      </c>
      <c r="K963">
        <f>IF(Table1[[#This Row],[Resolution_Date]]="NA"," ",Table1[[#This Row],[Resolution_Date]]-Table1[[#This Row],[Complaint_Date]])</f>
        <v>1</v>
      </c>
      <c r="L963" t="str">
        <f>TEXT(Table1[[#This Row],[Complaint_Date]],"MMM")</f>
        <v>Oct</v>
      </c>
      <c r="M963" t="str">
        <f>IF(Table1[[#This Row],[Resolution_Time_Hours]]&lt;=24,"Fast",IF(Table1[[#This Row],[Resolution_Time_Hours]]&lt;=72,"Medium","Slow"))</f>
        <v>Medium</v>
      </c>
    </row>
    <row r="964" spans="1:13" x14ac:dyDescent="0.3">
      <c r="A964" t="s">
        <v>2302</v>
      </c>
      <c r="B964" t="s">
        <v>2303</v>
      </c>
      <c r="C964" t="s">
        <v>70</v>
      </c>
      <c r="D964" t="s">
        <v>12</v>
      </c>
      <c r="E964" s="2" t="s">
        <v>1080</v>
      </c>
      <c r="F964">
        <v>11</v>
      </c>
      <c r="G964" t="s">
        <v>20</v>
      </c>
      <c r="H964" s="2" t="s">
        <v>1080</v>
      </c>
      <c r="I964">
        <v>4</v>
      </c>
      <c r="J964" t="str">
        <f>IF(Table1[[#This Row],[Resolution_Date]]="NA","Unresolved","Resolved")</f>
        <v>Resolved</v>
      </c>
      <c r="K964">
        <f>IF(Table1[[#This Row],[Resolution_Date]]="NA"," ",Table1[[#This Row],[Resolution_Date]]-Table1[[#This Row],[Complaint_Date]])</f>
        <v>0</v>
      </c>
      <c r="L964" t="str">
        <f>TEXT(Table1[[#This Row],[Complaint_Date]],"MMM")</f>
        <v>Feb</v>
      </c>
      <c r="M964" t="str">
        <f>IF(Table1[[#This Row],[Resolution_Time_Hours]]&lt;=24,"Fast",IF(Table1[[#This Row],[Resolution_Time_Hours]]&lt;=72,"Medium","Slow"))</f>
        <v>Fast</v>
      </c>
    </row>
    <row r="965" spans="1:13" x14ac:dyDescent="0.3">
      <c r="A965" t="s">
        <v>2304</v>
      </c>
      <c r="B965" t="s">
        <v>2305</v>
      </c>
      <c r="C965" t="s">
        <v>34</v>
      </c>
      <c r="D965" t="s">
        <v>95</v>
      </c>
      <c r="E965" s="2" t="s">
        <v>1672</v>
      </c>
      <c r="F965">
        <v>96</v>
      </c>
      <c r="G965" t="s">
        <v>20</v>
      </c>
      <c r="H965" s="2" t="s">
        <v>60</v>
      </c>
      <c r="I965">
        <v>5</v>
      </c>
      <c r="J965" t="str">
        <f>IF(Table1[[#This Row],[Resolution_Date]]="NA","Unresolved","Resolved")</f>
        <v>Resolved</v>
      </c>
      <c r="K965">
        <f>IF(Table1[[#This Row],[Resolution_Date]]="NA"," ",Table1[[#This Row],[Resolution_Date]]-Table1[[#This Row],[Complaint_Date]])</f>
        <v>4</v>
      </c>
      <c r="L965" t="str">
        <f>TEXT(Table1[[#This Row],[Complaint_Date]],"MMM")</f>
        <v>Sep</v>
      </c>
      <c r="M965" t="str">
        <f>IF(Table1[[#This Row],[Resolution_Time_Hours]]&lt;=24,"Fast",IF(Table1[[#This Row],[Resolution_Time_Hours]]&lt;=72,"Medium","Slow"))</f>
        <v>Slow</v>
      </c>
    </row>
    <row r="966" spans="1:13" x14ac:dyDescent="0.3">
      <c r="A966" t="s">
        <v>2306</v>
      </c>
      <c r="B966" t="s">
        <v>2307</v>
      </c>
      <c r="C966" t="s">
        <v>43</v>
      </c>
      <c r="D966" t="s">
        <v>38</v>
      </c>
      <c r="E966" s="2" t="s">
        <v>160</v>
      </c>
      <c r="F966">
        <v>38</v>
      </c>
      <c r="G966" t="s">
        <v>20</v>
      </c>
      <c r="H966" s="2" t="s">
        <v>572</v>
      </c>
      <c r="I966">
        <v>2</v>
      </c>
      <c r="J966" t="str">
        <f>IF(Table1[[#This Row],[Resolution_Date]]="NA","Unresolved","Resolved")</f>
        <v>Resolved</v>
      </c>
      <c r="K966">
        <f>IF(Table1[[#This Row],[Resolution_Date]]="NA"," ",Table1[[#This Row],[Resolution_Date]]-Table1[[#This Row],[Complaint_Date]])</f>
        <v>1</v>
      </c>
      <c r="L966" t="str">
        <f>TEXT(Table1[[#This Row],[Complaint_Date]],"MMM")</f>
        <v>May</v>
      </c>
      <c r="M966" t="str">
        <f>IF(Table1[[#This Row],[Resolution_Time_Hours]]&lt;=24,"Fast",IF(Table1[[#This Row],[Resolution_Time_Hours]]&lt;=72,"Medium","Slow"))</f>
        <v>Medium</v>
      </c>
    </row>
    <row r="967" spans="1:13" x14ac:dyDescent="0.3">
      <c r="A967" t="s">
        <v>2308</v>
      </c>
      <c r="B967" t="s">
        <v>2309</v>
      </c>
      <c r="C967" t="s">
        <v>70</v>
      </c>
      <c r="D967" t="s">
        <v>12</v>
      </c>
      <c r="E967" s="2" t="s">
        <v>1613</v>
      </c>
      <c r="F967">
        <v>7</v>
      </c>
      <c r="G967" t="s">
        <v>14</v>
      </c>
      <c r="H967" s="2" t="s">
        <v>2820</v>
      </c>
      <c r="J967" t="str">
        <f>IF(Table1[[#This Row],[Resolution_Date]]="NA","Unresolved","Resolved")</f>
        <v>Unresolved</v>
      </c>
      <c r="K967" t="str">
        <f>IF(Table1[[#This Row],[Resolution_Date]]="NA"," ",Table1[[#This Row],[Resolution_Date]]-Table1[[#This Row],[Complaint_Date]])</f>
        <v xml:space="preserve"> </v>
      </c>
      <c r="L967" t="str">
        <f>TEXT(Table1[[#This Row],[Complaint_Date]],"MMM")</f>
        <v>Dec</v>
      </c>
      <c r="M967" t="str">
        <f>IF(Table1[[#This Row],[Resolution_Time_Hours]]&lt;=24,"Fast",IF(Table1[[#This Row],[Resolution_Time_Hours]]&lt;=72,"Medium","Slow"))</f>
        <v>Fast</v>
      </c>
    </row>
    <row r="968" spans="1:13" x14ac:dyDescent="0.3">
      <c r="A968" t="s">
        <v>2310</v>
      </c>
      <c r="B968" t="s">
        <v>2311</v>
      </c>
      <c r="C968" t="s">
        <v>53</v>
      </c>
      <c r="D968" t="s">
        <v>38</v>
      </c>
      <c r="E968" s="2" t="s">
        <v>63</v>
      </c>
      <c r="F968">
        <v>5</v>
      </c>
      <c r="G968" t="s">
        <v>20</v>
      </c>
      <c r="H968" s="2" t="s">
        <v>63</v>
      </c>
      <c r="I968">
        <v>5</v>
      </c>
      <c r="J968" t="str">
        <f>IF(Table1[[#This Row],[Resolution_Date]]="NA","Unresolved","Resolved")</f>
        <v>Resolved</v>
      </c>
      <c r="K968">
        <f>IF(Table1[[#This Row],[Resolution_Date]]="NA"," ",Table1[[#This Row],[Resolution_Date]]-Table1[[#This Row],[Complaint_Date]])</f>
        <v>0</v>
      </c>
      <c r="L968" t="str">
        <f>TEXT(Table1[[#This Row],[Complaint_Date]],"MMM")</f>
        <v>Aug</v>
      </c>
      <c r="M968" t="str">
        <f>IF(Table1[[#This Row],[Resolution_Time_Hours]]&lt;=24,"Fast",IF(Table1[[#This Row],[Resolution_Time_Hours]]&lt;=72,"Medium","Slow"))</f>
        <v>Fast</v>
      </c>
    </row>
    <row r="969" spans="1:13" x14ac:dyDescent="0.3">
      <c r="A969" t="s">
        <v>2312</v>
      </c>
      <c r="B969" t="s">
        <v>2313</v>
      </c>
      <c r="C969" t="s">
        <v>70</v>
      </c>
      <c r="D969" t="s">
        <v>95</v>
      </c>
      <c r="E969" s="2" t="s">
        <v>954</v>
      </c>
      <c r="F969">
        <v>23</v>
      </c>
      <c r="G969" t="s">
        <v>14</v>
      </c>
      <c r="H969" s="2" t="s">
        <v>2820</v>
      </c>
      <c r="J969" t="str">
        <f>IF(Table1[[#This Row],[Resolution_Date]]="NA","Unresolved","Resolved")</f>
        <v>Unresolved</v>
      </c>
      <c r="K969" t="str">
        <f>IF(Table1[[#This Row],[Resolution_Date]]="NA"," ",Table1[[#This Row],[Resolution_Date]]-Table1[[#This Row],[Complaint_Date]])</f>
        <v xml:space="preserve"> </v>
      </c>
      <c r="L969" t="str">
        <f>TEXT(Table1[[#This Row],[Complaint_Date]],"MMM")</f>
        <v>Mar</v>
      </c>
      <c r="M969" t="str">
        <f>IF(Table1[[#This Row],[Resolution_Time_Hours]]&lt;=24,"Fast",IF(Table1[[#This Row],[Resolution_Time_Hours]]&lt;=72,"Medium","Slow"))</f>
        <v>Fast</v>
      </c>
    </row>
    <row r="970" spans="1:13" x14ac:dyDescent="0.3">
      <c r="A970" t="s">
        <v>2314</v>
      </c>
      <c r="B970" t="s">
        <v>2315</v>
      </c>
      <c r="C970" t="s">
        <v>34</v>
      </c>
      <c r="D970" t="s">
        <v>12</v>
      </c>
      <c r="E970" s="2" t="s">
        <v>97</v>
      </c>
      <c r="F970">
        <v>53</v>
      </c>
      <c r="G970" t="s">
        <v>20</v>
      </c>
      <c r="H970" s="2" t="s">
        <v>250</v>
      </c>
      <c r="I970">
        <v>1</v>
      </c>
      <c r="J970" t="str">
        <f>IF(Table1[[#This Row],[Resolution_Date]]="NA","Unresolved","Resolved")</f>
        <v>Resolved</v>
      </c>
      <c r="K970">
        <f>IF(Table1[[#This Row],[Resolution_Date]]="NA"," ",Table1[[#This Row],[Resolution_Date]]-Table1[[#This Row],[Complaint_Date]])</f>
        <v>2</v>
      </c>
      <c r="L970" t="str">
        <f>TEXT(Table1[[#This Row],[Complaint_Date]],"MMM")</f>
        <v>Feb</v>
      </c>
      <c r="M970" t="str">
        <f>IF(Table1[[#This Row],[Resolution_Time_Hours]]&lt;=24,"Fast",IF(Table1[[#This Row],[Resolution_Time_Hours]]&lt;=72,"Medium","Slow"))</f>
        <v>Medium</v>
      </c>
    </row>
    <row r="971" spans="1:13" x14ac:dyDescent="0.3">
      <c r="A971" t="s">
        <v>2316</v>
      </c>
      <c r="B971" t="s">
        <v>2317</v>
      </c>
      <c r="C971" t="s">
        <v>48</v>
      </c>
      <c r="D971" t="s">
        <v>18</v>
      </c>
      <c r="E971" s="2" t="s">
        <v>1173</v>
      </c>
      <c r="F971">
        <v>64</v>
      </c>
      <c r="G971" t="s">
        <v>40</v>
      </c>
      <c r="H971" s="2" t="s">
        <v>2820</v>
      </c>
      <c r="J971" t="str">
        <f>IF(Table1[[#This Row],[Resolution_Date]]="NA","Unresolved","Resolved")</f>
        <v>Unresolved</v>
      </c>
      <c r="K971" t="str">
        <f>IF(Table1[[#This Row],[Resolution_Date]]="NA"," ",Table1[[#This Row],[Resolution_Date]]-Table1[[#This Row],[Complaint_Date]])</f>
        <v xml:space="preserve"> </v>
      </c>
      <c r="L971" t="str">
        <f>TEXT(Table1[[#This Row],[Complaint_Date]],"MMM")</f>
        <v>Dec</v>
      </c>
      <c r="M971" t="str">
        <f>IF(Table1[[#This Row],[Resolution_Time_Hours]]&lt;=24,"Fast",IF(Table1[[#This Row],[Resolution_Time_Hours]]&lt;=72,"Medium","Slow"))</f>
        <v>Medium</v>
      </c>
    </row>
    <row r="972" spans="1:13" x14ac:dyDescent="0.3">
      <c r="A972" t="s">
        <v>2318</v>
      </c>
      <c r="B972" t="s">
        <v>2319</v>
      </c>
      <c r="C972" t="s">
        <v>70</v>
      </c>
      <c r="D972" t="s">
        <v>27</v>
      </c>
      <c r="E972" s="2" t="s">
        <v>676</v>
      </c>
      <c r="F972">
        <v>3</v>
      </c>
      <c r="G972" t="s">
        <v>20</v>
      </c>
      <c r="H972" s="2" t="s">
        <v>676</v>
      </c>
      <c r="I972">
        <v>5</v>
      </c>
      <c r="J972" t="str">
        <f>IF(Table1[[#This Row],[Resolution_Date]]="NA","Unresolved","Resolved")</f>
        <v>Resolved</v>
      </c>
      <c r="K972">
        <f>IF(Table1[[#This Row],[Resolution_Date]]="NA"," ",Table1[[#This Row],[Resolution_Date]]-Table1[[#This Row],[Complaint_Date]])</f>
        <v>0</v>
      </c>
      <c r="L972" t="str">
        <f>TEXT(Table1[[#This Row],[Complaint_Date]],"MMM")</f>
        <v>Mar</v>
      </c>
      <c r="M972" t="str">
        <f>IF(Table1[[#This Row],[Resolution_Time_Hours]]&lt;=24,"Fast",IF(Table1[[#This Row],[Resolution_Time_Hours]]&lt;=72,"Medium","Slow"))</f>
        <v>Fast</v>
      </c>
    </row>
    <row r="973" spans="1:13" x14ac:dyDescent="0.3">
      <c r="A973" t="s">
        <v>2320</v>
      </c>
      <c r="B973" t="s">
        <v>2321</v>
      </c>
      <c r="C973" t="s">
        <v>11</v>
      </c>
      <c r="D973" t="s">
        <v>18</v>
      </c>
      <c r="E973" s="2" t="s">
        <v>511</v>
      </c>
      <c r="F973">
        <v>29</v>
      </c>
      <c r="G973" t="s">
        <v>20</v>
      </c>
      <c r="H973" s="2" t="s">
        <v>1247</v>
      </c>
      <c r="I973">
        <v>2</v>
      </c>
      <c r="J973" t="str">
        <f>IF(Table1[[#This Row],[Resolution_Date]]="NA","Unresolved","Resolved")</f>
        <v>Resolved</v>
      </c>
      <c r="K973">
        <f>IF(Table1[[#This Row],[Resolution_Date]]="NA"," ",Table1[[#This Row],[Resolution_Date]]-Table1[[#This Row],[Complaint_Date]])</f>
        <v>1</v>
      </c>
      <c r="L973" t="str">
        <f>TEXT(Table1[[#This Row],[Complaint_Date]],"MMM")</f>
        <v>Jul</v>
      </c>
      <c r="M973" t="str">
        <f>IF(Table1[[#This Row],[Resolution_Time_Hours]]&lt;=24,"Fast",IF(Table1[[#This Row],[Resolution_Time_Hours]]&lt;=72,"Medium","Slow"))</f>
        <v>Medium</v>
      </c>
    </row>
    <row r="974" spans="1:13" x14ac:dyDescent="0.3">
      <c r="A974" t="s">
        <v>2322</v>
      </c>
      <c r="B974" t="s">
        <v>2323</v>
      </c>
      <c r="C974" t="s">
        <v>43</v>
      </c>
      <c r="D974" t="s">
        <v>38</v>
      </c>
      <c r="E974" s="2" t="s">
        <v>608</v>
      </c>
      <c r="F974">
        <v>37</v>
      </c>
      <c r="G974" t="s">
        <v>20</v>
      </c>
      <c r="H974" s="2" t="s">
        <v>1140</v>
      </c>
      <c r="I974">
        <v>2</v>
      </c>
      <c r="J974" t="str">
        <f>IF(Table1[[#This Row],[Resolution_Date]]="NA","Unresolved","Resolved")</f>
        <v>Resolved</v>
      </c>
      <c r="K974">
        <f>IF(Table1[[#This Row],[Resolution_Date]]="NA"," ",Table1[[#This Row],[Resolution_Date]]-Table1[[#This Row],[Complaint_Date]])</f>
        <v>1</v>
      </c>
      <c r="L974" t="str">
        <f>TEXT(Table1[[#This Row],[Complaint_Date]],"MMM")</f>
        <v>Aug</v>
      </c>
      <c r="M974" t="str">
        <f>IF(Table1[[#This Row],[Resolution_Time_Hours]]&lt;=24,"Fast",IF(Table1[[#This Row],[Resolution_Time_Hours]]&lt;=72,"Medium","Slow"))</f>
        <v>Medium</v>
      </c>
    </row>
    <row r="975" spans="1:13" x14ac:dyDescent="0.3">
      <c r="A975" t="s">
        <v>2324</v>
      </c>
      <c r="B975" t="s">
        <v>2325</v>
      </c>
      <c r="C975" t="s">
        <v>48</v>
      </c>
      <c r="D975" t="s">
        <v>38</v>
      </c>
      <c r="E975" s="2" t="s">
        <v>227</v>
      </c>
      <c r="F975">
        <v>46</v>
      </c>
      <c r="G975" t="s">
        <v>20</v>
      </c>
      <c r="H975" s="2" t="s">
        <v>228</v>
      </c>
      <c r="I975">
        <v>2</v>
      </c>
      <c r="J975" t="str">
        <f>IF(Table1[[#This Row],[Resolution_Date]]="NA","Unresolved","Resolved")</f>
        <v>Resolved</v>
      </c>
      <c r="K975">
        <f>IF(Table1[[#This Row],[Resolution_Date]]="NA"," ",Table1[[#This Row],[Resolution_Date]]-Table1[[#This Row],[Complaint_Date]])</f>
        <v>1</v>
      </c>
      <c r="L975" t="str">
        <f>TEXT(Table1[[#This Row],[Complaint_Date]],"MMM")</f>
        <v>Apr</v>
      </c>
      <c r="M975" t="str">
        <f>IF(Table1[[#This Row],[Resolution_Time_Hours]]&lt;=24,"Fast",IF(Table1[[#This Row],[Resolution_Time_Hours]]&lt;=72,"Medium","Slow"))</f>
        <v>Medium</v>
      </c>
    </row>
    <row r="976" spans="1:13" x14ac:dyDescent="0.3">
      <c r="A976" t="s">
        <v>2326</v>
      </c>
      <c r="B976" t="s">
        <v>2327</v>
      </c>
      <c r="C976" t="s">
        <v>11</v>
      </c>
      <c r="D976" t="s">
        <v>95</v>
      </c>
      <c r="E976" s="2" t="s">
        <v>954</v>
      </c>
      <c r="F976">
        <v>41</v>
      </c>
      <c r="G976" t="s">
        <v>40</v>
      </c>
      <c r="H976" s="2" t="s">
        <v>2820</v>
      </c>
      <c r="J976" t="str">
        <f>IF(Table1[[#This Row],[Resolution_Date]]="NA","Unresolved","Resolved")</f>
        <v>Unresolved</v>
      </c>
      <c r="K976" t="str">
        <f>IF(Table1[[#This Row],[Resolution_Date]]="NA"," ",Table1[[#This Row],[Resolution_Date]]-Table1[[#This Row],[Complaint_Date]])</f>
        <v xml:space="preserve"> </v>
      </c>
      <c r="L976" t="str">
        <f>TEXT(Table1[[#This Row],[Complaint_Date]],"MMM")</f>
        <v>Mar</v>
      </c>
      <c r="M976" t="str">
        <f>IF(Table1[[#This Row],[Resolution_Time_Hours]]&lt;=24,"Fast",IF(Table1[[#This Row],[Resolution_Time_Hours]]&lt;=72,"Medium","Slow"))</f>
        <v>Medium</v>
      </c>
    </row>
    <row r="977" spans="1:13" x14ac:dyDescent="0.3">
      <c r="A977" t="s">
        <v>2328</v>
      </c>
      <c r="B977" t="s">
        <v>2329</v>
      </c>
      <c r="C977" t="s">
        <v>43</v>
      </c>
      <c r="D977" t="s">
        <v>12</v>
      </c>
      <c r="E977" s="2" t="s">
        <v>705</v>
      </c>
      <c r="F977">
        <v>24</v>
      </c>
      <c r="G977" t="s">
        <v>40</v>
      </c>
      <c r="H977" s="2" t="s">
        <v>2820</v>
      </c>
      <c r="J977" t="str">
        <f>IF(Table1[[#This Row],[Resolution_Date]]="NA","Unresolved","Resolved")</f>
        <v>Unresolved</v>
      </c>
      <c r="K977" t="str">
        <f>IF(Table1[[#This Row],[Resolution_Date]]="NA"," ",Table1[[#This Row],[Resolution_Date]]-Table1[[#This Row],[Complaint_Date]])</f>
        <v xml:space="preserve"> </v>
      </c>
      <c r="L977" t="str">
        <f>TEXT(Table1[[#This Row],[Complaint_Date]],"MMM")</f>
        <v>Nov</v>
      </c>
      <c r="M977" t="str">
        <f>IF(Table1[[#This Row],[Resolution_Time_Hours]]&lt;=24,"Fast",IF(Table1[[#This Row],[Resolution_Time_Hours]]&lt;=72,"Medium","Slow"))</f>
        <v>Fast</v>
      </c>
    </row>
    <row r="978" spans="1:13" x14ac:dyDescent="0.3">
      <c r="A978" t="s">
        <v>2330</v>
      </c>
      <c r="B978" t="s">
        <v>2331</v>
      </c>
      <c r="C978" t="s">
        <v>11</v>
      </c>
      <c r="D978" t="s">
        <v>95</v>
      </c>
      <c r="E978" s="2" t="s">
        <v>812</v>
      </c>
      <c r="F978">
        <v>10</v>
      </c>
      <c r="G978" t="s">
        <v>20</v>
      </c>
      <c r="H978" s="2" t="s">
        <v>812</v>
      </c>
      <c r="I978">
        <v>4</v>
      </c>
      <c r="J978" t="str">
        <f>IF(Table1[[#This Row],[Resolution_Date]]="NA","Unresolved","Resolved")</f>
        <v>Resolved</v>
      </c>
      <c r="K978">
        <f>IF(Table1[[#This Row],[Resolution_Date]]="NA"," ",Table1[[#This Row],[Resolution_Date]]-Table1[[#This Row],[Complaint_Date]])</f>
        <v>0</v>
      </c>
      <c r="L978" t="str">
        <f>TEXT(Table1[[#This Row],[Complaint_Date]],"MMM")</f>
        <v>Feb</v>
      </c>
      <c r="M978" t="str">
        <f>IF(Table1[[#This Row],[Resolution_Time_Hours]]&lt;=24,"Fast",IF(Table1[[#This Row],[Resolution_Time_Hours]]&lt;=72,"Medium","Slow"))</f>
        <v>Fast</v>
      </c>
    </row>
    <row r="979" spans="1:13" x14ac:dyDescent="0.3">
      <c r="A979" t="s">
        <v>2332</v>
      </c>
      <c r="B979" t="s">
        <v>2333</v>
      </c>
      <c r="C979" t="s">
        <v>43</v>
      </c>
      <c r="D979" t="s">
        <v>27</v>
      </c>
      <c r="E979" s="2" t="s">
        <v>173</v>
      </c>
      <c r="F979">
        <v>7</v>
      </c>
      <c r="G979" t="s">
        <v>20</v>
      </c>
      <c r="H979" s="2" t="s">
        <v>173</v>
      </c>
      <c r="I979">
        <v>4</v>
      </c>
      <c r="J979" t="str">
        <f>IF(Table1[[#This Row],[Resolution_Date]]="NA","Unresolved","Resolved")</f>
        <v>Resolved</v>
      </c>
      <c r="K979">
        <f>IF(Table1[[#This Row],[Resolution_Date]]="NA"," ",Table1[[#This Row],[Resolution_Date]]-Table1[[#This Row],[Complaint_Date]])</f>
        <v>0</v>
      </c>
      <c r="L979" t="str">
        <f>TEXT(Table1[[#This Row],[Complaint_Date]],"MMM")</f>
        <v>Dec</v>
      </c>
      <c r="M979" t="str">
        <f>IF(Table1[[#This Row],[Resolution_Time_Hours]]&lt;=24,"Fast",IF(Table1[[#This Row],[Resolution_Time_Hours]]&lt;=72,"Medium","Slow"))</f>
        <v>Fast</v>
      </c>
    </row>
    <row r="980" spans="1:13" x14ac:dyDescent="0.3">
      <c r="A980" t="s">
        <v>2334</v>
      </c>
      <c r="B980" t="s">
        <v>2335</v>
      </c>
      <c r="C980" t="s">
        <v>34</v>
      </c>
      <c r="D980" t="s">
        <v>12</v>
      </c>
      <c r="E980" s="2" t="s">
        <v>217</v>
      </c>
      <c r="F980">
        <v>50</v>
      </c>
      <c r="G980" t="s">
        <v>20</v>
      </c>
      <c r="H980" s="2" t="s">
        <v>2336</v>
      </c>
      <c r="I980">
        <v>5</v>
      </c>
      <c r="J980" t="str">
        <f>IF(Table1[[#This Row],[Resolution_Date]]="NA","Unresolved","Resolved")</f>
        <v>Resolved</v>
      </c>
      <c r="K980">
        <f>IF(Table1[[#This Row],[Resolution_Date]]="NA"," ",Table1[[#This Row],[Resolution_Date]]-Table1[[#This Row],[Complaint_Date]])</f>
        <v>2</v>
      </c>
      <c r="L980" t="str">
        <f>TEXT(Table1[[#This Row],[Complaint_Date]],"MMM")</f>
        <v>Dec</v>
      </c>
      <c r="M980" t="str">
        <f>IF(Table1[[#This Row],[Resolution_Time_Hours]]&lt;=24,"Fast",IF(Table1[[#This Row],[Resolution_Time_Hours]]&lt;=72,"Medium","Slow"))</f>
        <v>Medium</v>
      </c>
    </row>
    <row r="981" spans="1:13" x14ac:dyDescent="0.3">
      <c r="A981" t="s">
        <v>2337</v>
      </c>
      <c r="B981" t="s">
        <v>2338</v>
      </c>
      <c r="C981" t="s">
        <v>70</v>
      </c>
      <c r="D981" t="s">
        <v>27</v>
      </c>
      <c r="E981" s="2" t="s">
        <v>681</v>
      </c>
      <c r="F981">
        <v>16</v>
      </c>
      <c r="G981" t="s">
        <v>20</v>
      </c>
      <c r="H981" s="2" t="s">
        <v>681</v>
      </c>
      <c r="I981">
        <v>3</v>
      </c>
      <c r="J981" t="str">
        <f>IF(Table1[[#This Row],[Resolution_Date]]="NA","Unresolved","Resolved")</f>
        <v>Resolved</v>
      </c>
      <c r="K981">
        <f>IF(Table1[[#This Row],[Resolution_Date]]="NA"," ",Table1[[#This Row],[Resolution_Date]]-Table1[[#This Row],[Complaint_Date]])</f>
        <v>0</v>
      </c>
      <c r="L981" t="str">
        <f>TEXT(Table1[[#This Row],[Complaint_Date]],"MMM")</f>
        <v>Apr</v>
      </c>
      <c r="M981" t="str">
        <f>IF(Table1[[#This Row],[Resolution_Time_Hours]]&lt;=24,"Fast",IF(Table1[[#This Row],[Resolution_Time_Hours]]&lt;=72,"Medium","Slow"))</f>
        <v>Fast</v>
      </c>
    </row>
    <row r="982" spans="1:13" x14ac:dyDescent="0.3">
      <c r="A982" t="s">
        <v>2339</v>
      </c>
      <c r="B982" t="s">
        <v>2340</v>
      </c>
      <c r="C982" t="s">
        <v>17</v>
      </c>
      <c r="D982" t="s">
        <v>12</v>
      </c>
      <c r="E982" s="2" t="s">
        <v>817</v>
      </c>
      <c r="F982">
        <v>16</v>
      </c>
      <c r="G982" t="s">
        <v>20</v>
      </c>
      <c r="H982" s="2" t="s">
        <v>817</v>
      </c>
      <c r="I982">
        <v>3</v>
      </c>
      <c r="J982" t="str">
        <f>IF(Table1[[#This Row],[Resolution_Date]]="NA","Unresolved","Resolved")</f>
        <v>Resolved</v>
      </c>
      <c r="K982">
        <f>IF(Table1[[#This Row],[Resolution_Date]]="NA"," ",Table1[[#This Row],[Resolution_Date]]-Table1[[#This Row],[Complaint_Date]])</f>
        <v>0</v>
      </c>
      <c r="L982" t="str">
        <f>TEXT(Table1[[#This Row],[Complaint_Date]],"MMM")</f>
        <v>Feb</v>
      </c>
      <c r="M982" t="str">
        <f>IF(Table1[[#This Row],[Resolution_Time_Hours]]&lt;=24,"Fast",IF(Table1[[#This Row],[Resolution_Time_Hours]]&lt;=72,"Medium","Slow"))</f>
        <v>Fast</v>
      </c>
    </row>
    <row r="983" spans="1:13" x14ac:dyDescent="0.3">
      <c r="A983" t="s">
        <v>2341</v>
      </c>
      <c r="B983" t="s">
        <v>2342</v>
      </c>
      <c r="C983" t="s">
        <v>110</v>
      </c>
      <c r="D983" t="s">
        <v>95</v>
      </c>
      <c r="E983" s="2" t="s">
        <v>2343</v>
      </c>
      <c r="F983">
        <v>15</v>
      </c>
      <c r="G983" t="s">
        <v>20</v>
      </c>
      <c r="H983" s="2" t="s">
        <v>2343</v>
      </c>
      <c r="I983">
        <v>5</v>
      </c>
      <c r="J983" t="str">
        <f>IF(Table1[[#This Row],[Resolution_Date]]="NA","Unresolved","Resolved")</f>
        <v>Resolved</v>
      </c>
      <c r="K983">
        <f>IF(Table1[[#This Row],[Resolution_Date]]="NA"," ",Table1[[#This Row],[Resolution_Date]]-Table1[[#This Row],[Complaint_Date]])</f>
        <v>0</v>
      </c>
      <c r="L983" t="str">
        <f>TEXT(Table1[[#This Row],[Complaint_Date]],"MMM")</f>
        <v>Jan</v>
      </c>
      <c r="M983" t="str">
        <f>IF(Table1[[#This Row],[Resolution_Time_Hours]]&lt;=24,"Fast",IF(Table1[[#This Row],[Resolution_Time_Hours]]&lt;=72,"Medium","Slow"))</f>
        <v>Fast</v>
      </c>
    </row>
    <row r="984" spans="1:13" x14ac:dyDescent="0.3">
      <c r="A984" t="s">
        <v>2344</v>
      </c>
      <c r="B984" t="s">
        <v>2345</v>
      </c>
      <c r="C984" t="s">
        <v>34</v>
      </c>
      <c r="D984" t="s">
        <v>18</v>
      </c>
      <c r="E984" s="2" t="s">
        <v>850</v>
      </c>
      <c r="F984">
        <v>39</v>
      </c>
      <c r="G984" t="s">
        <v>20</v>
      </c>
      <c r="H984" s="2" t="s">
        <v>883</v>
      </c>
      <c r="I984">
        <v>2</v>
      </c>
      <c r="J984" t="str">
        <f>IF(Table1[[#This Row],[Resolution_Date]]="NA","Unresolved","Resolved")</f>
        <v>Resolved</v>
      </c>
      <c r="K984">
        <f>IF(Table1[[#This Row],[Resolution_Date]]="NA"," ",Table1[[#This Row],[Resolution_Date]]-Table1[[#This Row],[Complaint_Date]])</f>
        <v>1</v>
      </c>
      <c r="L984" t="str">
        <f>TEXT(Table1[[#This Row],[Complaint_Date]],"MMM")</f>
        <v>Jun</v>
      </c>
      <c r="M984" t="str">
        <f>IF(Table1[[#This Row],[Resolution_Time_Hours]]&lt;=24,"Fast",IF(Table1[[#This Row],[Resolution_Time_Hours]]&lt;=72,"Medium","Slow"))</f>
        <v>Medium</v>
      </c>
    </row>
    <row r="985" spans="1:13" x14ac:dyDescent="0.3">
      <c r="A985" t="s">
        <v>2346</v>
      </c>
      <c r="B985" t="s">
        <v>2347</v>
      </c>
      <c r="C985" t="s">
        <v>17</v>
      </c>
      <c r="D985" t="s">
        <v>95</v>
      </c>
      <c r="E985" s="2" t="s">
        <v>2348</v>
      </c>
      <c r="F985">
        <v>6</v>
      </c>
      <c r="G985" t="s">
        <v>20</v>
      </c>
      <c r="H985" s="2" t="s">
        <v>2348</v>
      </c>
      <c r="I985">
        <v>5</v>
      </c>
      <c r="J985" t="str">
        <f>IF(Table1[[#This Row],[Resolution_Date]]="NA","Unresolved","Resolved")</f>
        <v>Resolved</v>
      </c>
      <c r="K985">
        <f>IF(Table1[[#This Row],[Resolution_Date]]="NA"," ",Table1[[#This Row],[Resolution_Date]]-Table1[[#This Row],[Complaint_Date]])</f>
        <v>0</v>
      </c>
      <c r="L985" t="str">
        <f>TEXT(Table1[[#This Row],[Complaint_Date]],"MMM")</f>
        <v>May</v>
      </c>
      <c r="M985" t="str">
        <f>IF(Table1[[#This Row],[Resolution_Time_Hours]]&lt;=24,"Fast",IF(Table1[[#This Row],[Resolution_Time_Hours]]&lt;=72,"Medium","Slow"))</f>
        <v>Fast</v>
      </c>
    </row>
    <row r="986" spans="1:13" x14ac:dyDescent="0.3">
      <c r="A986" t="s">
        <v>2349</v>
      </c>
      <c r="B986" t="s">
        <v>2350</v>
      </c>
      <c r="C986" t="s">
        <v>70</v>
      </c>
      <c r="D986" t="s">
        <v>12</v>
      </c>
      <c r="E986" s="2" t="s">
        <v>2348</v>
      </c>
      <c r="F986">
        <v>5</v>
      </c>
      <c r="G986" t="s">
        <v>20</v>
      </c>
      <c r="H986" s="2" t="s">
        <v>2348</v>
      </c>
      <c r="I986">
        <v>5</v>
      </c>
      <c r="J986" t="str">
        <f>IF(Table1[[#This Row],[Resolution_Date]]="NA","Unresolved","Resolved")</f>
        <v>Resolved</v>
      </c>
      <c r="K986">
        <f>IF(Table1[[#This Row],[Resolution_Date]]="NA"," ",Table1[[#This Row],[Resolution_Date]]-Table1[[#This Row],[Complaint_Date]])</f>
        <v>0</v>
      </c>
      <c r="L986" t="str">
        <f>TEXT(Table1[[#This Row],[Complaint_Date]],"MMM")</f>
        <v>May</v>
      </c>
      <c r="M986" t="str">
        <f>IF(Table1[[#This Row],[Resolution_Time_Hours]]&lt;=24,"Fast",IF(Table1[[#This Row],[Resolution_Time_Hours]]&lt;=72,"Medium","Slow"))</f>
        <v>Fast</v>
      </c>
    </row>
    <row r="987" spans="1:13" x14ac:dyDescent="0.3">
      <c r="A987" t="s">
        <v>2351</v>
      </c>
      <c r="B987" t="s">
        <v>2352</v>
      </c>
      <c r="C987" t="s">
        <v>53</v>
      </c>
      <c r="D987" t="s">
        <v>38</v>
      </c>
      <c r="E987" s="2" t="s">
        <v>2353</v>
      </c>
      <c r="F987">
        <v>9</v>
      </c>
      <c r="G987" t="s">
        <v>40</v>
      </c>
      <c r="H987" s="2" t="s">
        <v>2820</v>
      </c>
      <c r="J987" t="str">
        <f>IF(Table1[[#This Row],[Resolution_Date]]="NA","Unresolved","Resolved")</f>
        <v>Unresolved</v>
      </c>
      <c r="K987" t="str">
        <f>IF(Table1[[#This Row],[Resolution_Date]]="NA"," ",Table1[[#This Row],[Resolution_Date]]-Table1[[#This Row],[Complaint_Date]])</f>
        <v xml:space="preserve"> </v>
      </c>
      <c r="L987" t="str">
        <f>TEXT(Table1[[#This Row],[Complaint_Date]],"MMM")</f>
        <v>Mar</v>
      </c>
      <c r="M987" t="str">
        <f>IF(Table1[[#This Row],[Resolution_Time_Hours]]&lt;=24,"Fast",IF(Table1[[#This Row],[Resolution_Time_Hours]]&lt;=72,"Medium","Slow"))</f>
        <v>Fast</v>
      </c>
    </row>
    <row r="988" spans="1:13" x14ac:dyDescent="0.3">
      <c r="A988" t="s">
        <v>2354</v>
      </c>
      <c r="B988" t="s">
        <v>2355</v>
      </c>
      <c r="C988" t="s">
        <v>110</v>
      </c>
      <c r="D988" t="s">
        <v>38</v>
      </c>
      <c r="E988" s="2" t="s">
        <v>419</v>
      </c>
      <c r="F988">
        <v>8</v>
      </c>
      <c r="G988" t="s">
        <v>40</v>
      </c>
      <c r="H988" s="2" t="s">
        <v>2820</v>
      </c>
      <c r="J988" t="str">
        <f>IF(Table1[[#This Row],[Resolution_Date]]="NA","Unresolved","Resolved")</f>
        <v>Unresolved</v>
      </c>
      <c r="K988" t="str">
        <f>IF(Table1[[#This Row],[Resolution_Date]]="NA"," ",Table1[[#This Row],[Resolution_Date]]-Table1[[#This Row],[Complaint_Date]])</f>
        <v xml:space="preserve"> </v>
      </c>
      <c r="L988" t="str">
        <f>TEXT(Table1[[#This Row],[Complaint_Date]],"MMM")</f>
        <v>Mar</v>
      </c>
      <c r="M988" t="str">
        <f>IF(Table1[[#This Row],[Resolution_Time_Hours]]&lt;=24,"Fast",IF(Table1[[#This Row],[Resolution_Time_Hours]]&lt;=72,"Medium","Slow"))</f>
        <v>Fast</v>
      </c>
    </row>
    <row r="989" spans="1:13" x14ac:dyDescent="0.3">
      <c r="A989" t="s">
        <v>2356</v>
      </c>
      <c r="B989" t="s">
        <v>2357</v>
      </c>
      <c r="C989" t="s">
        <v>70</v>
      </c>
      <c r="D989" t="s">
        <v>18</v>
      </c>
      <c r="E989" s="2" t="s">
        <v>477</v>
      </c>
      <c r="F989">
        <v>8</v>
      </c>
      <c r="G989" t="s">
        <v>40</v>
      </c>
      <c r="H989" s="2" t="s">
        <v>2820</v>
      </c>
      <c r="J989" t="str">
        <f>IF(Table1[[#This Row],[Resolution_Date]]="NA","Unresolved","Resolved")</f>
        <v>Unresolved</v>
      </c>
      <c r="K989" t="str">
        <f>IF(Table1[[#This Row],[Resolution_Date]]="NA"," ",Table1[[#This Row],[Resolution_Date]]-Table1[[#This Row],[Complaint_Date]])</f>
        <v xml:space="preserve"> </v>
      </c>
      <c r="L989" t="str">
        <f>TEXT(Table1[[#This Row],[Complaint_Date]],"MMM")</f>
        <v>Oct</v>
      </c>
      <c r="M989" t="str">
        <f>IF(Table1[[#This Row],[Resolution_Time_Hours]]&lt;=24,"Fast",IF(Table1[[#This Row],[Resolution_Time_Hours]]&lt;=72,"Medium","Slow"))</f>
        <v>Fast</v>
      </c>
    </row>
    <row r="990" spans="1:13" x14ac:dyDescent="0.3">
      <c r="A990" t="s">
        <v>2358</v>
      </c>
      <c r="B990" t="s">
        <v>2359</v>
      </c>
      <c r="C990" t="s">
        <v>48</v>
      </c>
      <c r="D990" t="s">
        <v>12</v>
      </c>
      <c r="E990" s="2" t="s">
        <v>1773</v>
      </c>
      <c r="F990">
        <v>42</v>
      </c>
      <c r="G990" t="s">
        <v>20</v>
      </c>
      <c r="H990" s="2" t="s">
        <v>343</v>
      </c>
      <c r="I990">
        <v>2</v>
      </c>
      <c r="J990" t="str">
        <f>IF(Table1[[#This Row],[Resolution_Date]]="NA","Unresolved","Resolved")</f>
        <v>Resolved</v>
      </c>
      <c r="K990">
        <f>IF(Table1[[#This Row],[Resolution_Date]]="NA"," ",Table1[[#This Row],[Resolution_Date]]-Table1[[#This Row],[Complaint_Date]])</f>
        <v>1</v>
      </c>
      <c r="L990" t="str">
        <f>TEXT(Table1[[#This Row],[Complaint_Date]],"MMM")</f>
        <v>Sep</v>
      </c>
      <c r="M990" t="str">
        <f>IF(Table1[[#This Row],[Resolution_Time_Hours]]&lt;=24,"Fast",IF(Table1[[#This Row],[Resolution_Time_Hours]]&lt;=72,"Medium","Slow"))</f>
        <v>Medium</v>
      </c>
    </row>
    <row r="991" spans="1:13" x14ac:dyDescent="0.3">
      <c r="A991" t="s">
        <v>2360</v>
      </c>
      <c r="B991" t="s">
        <v>2361</v>
      </c>
      <c r="C991" t="s">
        <v>53</v>
      </c>
      <c r="D991" t="s">
        <v>27</v>
      </c>
      <c r="E991" s="2" t="s">
        <v>507</v>
      </c>
      <c r="F991">
        <v>7</v>
      </c>
      <c r="G991" t="s">
        <v>20</v>
      </c>
      <c r="H991" s="2" t="s">
        <v>507</v>
      </c>
      <c r="I991">
        <v>4</v>
      </c>
      <c r="J991" t="str">
        <f>IF(Table1[[#This Row],[Resolution_Date]]="NA","Unresolved","Resolved")</f>
        <v>Resolved</v>
      </c>
      <c r="K991">
        <f>IF(Table1[[#This Row],[Resolution_Date]]="NA"," ",Table1[[#This Row],[Resolution_Date]]-Table1[[#This Row],[Complaint_Date]])</f>
        <v>0</v>
      </c>
      <c r="L991" t="str">
        <f>TEXT(Table1[[#This Row],[Complaint_Date]],"MMM")</f>
        <v>Oct</v>
      </c>
      <c r="M991" t="str">
        <f>IF(Table1[[#This Row],[Resolution_Time_Hours]]&lt;=24,"Fast",IF(Table1[[#This Row],[Resolution_Time_Hours]]&lt;=72,"Medium","Slow"))</f>
        <v>Fast</v>
      </c>
    </row>
    <row r="992" spans="1:13" x14ac:dyDescent="0.3">
      <c r="A992" t="s">
        <v>2362</v>
      </c>
      <c r="B992" t="s">
        <v>2363</v>
      </c>
      <c r="C992" t="s">
        <v>34</v>
      </c>
      <c r="D992" t="s">
        <v>38</v>
      </c>
      <c r="E992" s="2" t="s">
        <v>1419</v>
      </c>
      <c r="F992">
        <v>56</v>
      </c>
      <c r="G992" t="s">
        <v>20</v>
      </c>
      <c r="H992" s="2" t="s">
        <v>1173</v>
      </c>
      <c r="I992">
        <v>1</v>
      </c>
      <c r="J992" t="str">
        <f>IF(Table1[[#This Row],[Resolution_Date]]="NA","Unresolved","Resolved")</f>
        <v>Resolved</v>
      </c>
      <c r="K992">
        <f>IF(Table1[[#This Row],[Resolution_Date]]="NA"," ",Table1[[#This Row],[Resolution_Date]]-Table1[[#This Row],[Complaint_Date]])</f>
        <v>2</v>
      </c>
      <c r="L992" t="str">
        <f>TEXT(Table1[[#This Row],[Complaint_Date]],"MMM")</f>
        <v>Dec</v>
      </c>
      <c r="M992" t="str">
        <f>IF(Table1[[#This Row],[Resolution_Time_Hours]]&lt;=24,"Fast",IF(Table1[[#This Row],[Resolution_Time_Hours]]&lt;=72,"Medium","Slow"))</f>
        <v>Medium</v>
      </c>
    </row>
    <row r="993" spans="1:13" x14ac:dyDescent="0.3">
      <c r="A993" t="s">
        <v>2364</v>
      </c>
      <c r="B993" t="s">
        <v>2365</v>
      </c>
      <c r="C993" t="s">
        <v>53</v>
      </c>
      <c r="D993" t="s">
        <v>18</v>
      </c>
      <c r="E993" s="2" t="s">
        <v>1009</v>
      </c>
      <c r="F993">
        <v>6</v>
      </c>
      <c r="G993" t="s">
        <v>14</v>
      </c>
      <c r="H993" s="2" t="s">
        <v>2820</v>
      </c>
      <c r="J993" t="str">
        <f>IF(Table1[[#This Row],[Resolution_Date]]="NA","Unresolved","Resolved")</f>
        <v>Unresolved</v>
      </c>
      <c r="K993" t="str">
        <f>IF(Table1[[#This Row],[Resolution_Date]]="NA"," ",Table1[[#This Row],[Resolution_Date]]-Table1[[#This Row],[Complaint_Date]])</f>
        <v xml:space="preserve"> </v>
      </c>
      <c r="L993" t="str">
        <f>TEXT(Table1[[#This Row],[Complaint_Date]],"MMM")</f>
        <v>Sep</v>
      </c>
      <c r="M993" t="str">
        <f>IF(Table1[[#This Row],[Resolution_Time_Hours]]&lt;=24,"Fast",IF(Table1[[#This Row],[Resolution_Time_Hours]]&lt;=72,"Medium","Slow"))</f>
        <v>Fast</v>
      </c>
    </row>
    <row r="994" spans="1:13" x14ac:dyDescent="0.3">
      <c r="A994" t="s">
        <v>2366</v>
      </c>
      <c r="B994" t="s">
        <v>2367</v>
      </c>
      <c r="C994" t="s">
        <v>17</v>
      </c>
      <c r="D994" t="s">
        <v>18</v>
      </c>
      <c r="E994" s="2" t="s">
        <v>117</v>
      </c>
      <c r="F994">
        <v>8</v>
      </c>
      <c r="G994" t="s">
        <v>20</v>
      </c>
      <c r="H994" s="2" t="s">
        <v>117</v>
      </c>
      <c r="I994">
        <v>4</v>
      </c>
      <c r="J994" t="str">
        <f>IF(Table1[[#This Row],[Resolution_Date]]="NA","Unresolved","Resolved")</f>
        <v>Resolved</v>
      </c>
      <c r="K994">
        <f>IF(Table1[[#This Row],[Resolution_Date]]="NA"," ",Table1[[#This Row],[Resolution_Date]]-Table1[[#This Row],[Complaint_Date]])</f>
        <v>0</v>
      </c>
      <c r="L994" t="str">
        <f>TEXT(Table1[[#This Row],[Complaint_Date]],"MMM")</f>
        <v>Jan</v>
      </c>
      <c r="M994" t="str">
        <f>IF(Table1[[#This Row],[Resolution_Time_Hours]]&lt;=24,"Fast",IF(Table1[[#This Row],[Resolution_Time_Hours]]&lt;=72,"Medium","Slow"))</f>
        <v>Fast</v>
      </c>
    </row>
    <row r="995" spans="1:13" x14ac:dyDescent="0.3">
      <c r="A995" t="s">
        <v>2368</v>
      </c>
      <c r="B995" t="s">
        <v>2369</v>
      </c>
      <c r="C995" t="s">
        <v>11</v>
      </c>
      <c r="D995" t="s">
        <v>38</v>
      </c>
      <c r="E995" s="2" t="s">
        <v>1748</v>
      </c>
      <c r="F995">
        <v>41</v>
      </c>
      <c r="G995" t="s">
        <v>14</v>
      </c>
      <c r="H995" s="2" t="s">
        <v>2820</v>
      </c>
      <c r="J995" t="str">
        <f>IF(Table1[[#This Row],[Resolution_Date]]="NA","Unresolved","Resolved")</f>
        <v>Unresolved</v>
      </c>
      <c r="K995" t="str">
        <f>IF(Table1[[#This Row],[Resolution_Date]]="NA"," ",Table1[[#This Row],[Resolution_Date]]-Table1[[#This Row],[Complaint_Date]])</f>
        <v xml:space="preserve"> </v>
      </c>
      <c r="L995" t="str">
        <f>TEXT(Table1[[#This Row],[Complaint_Date]],"MMM")</f>
        <v>Jul</v>
      </c>
      <c r="M995" t="str">
        <f>IF(Table1[[#This Row],[Resolution_Time_Hours]]&lt;=24,"Fast",IF(Table1[[#This Row],[Resolution_Time_Hours]]&lt;=72,"Medium","Slow"))</f>
        <v>Medium</v>
      </c>
    </row>
    <row r="996" spans="1:13" x14ac:dyDescent="0.3">
      <c r="A996" t="s">
        <v>2370</v>
      </c>
      <c r="B996" t="s">
        <v>2371</v>
      </c>
      <c r="C996" t="s">
        <v>34</v>
      </c>
      <c r="D996" t="s">
        <v>38</v>
      </c>
      <c r="E996" s="2" t="s">
        <v>538</v>
      </c>
      <c r="F996">
        <v>31</v>
      </c>
      <c r="G996" t="s">
        <v>14</v>
      </c>
      <c r="H996" s="2" t="s">
        <v>2820</v>
      </c>
      <c r="J996" t="str">
        <f>IF(Table1[[#This Row],[Resolution_Date]]="NA","Unresolved","Resolved")</f>
        <v>Unresolved</v>
      </c>
      <c r="K996" t="str">
        <f>IF(Table1[[#This Row],[Resolution_Date]]="NA"," ",Table1[[#This Row],[Resolution_Date]]-Table1[[#This Row],[Complaint_Date]])</f>
        <v xml:space="preserve"> </v>
      </c>
      <c r="L996" t="str">
        <f>TEXT(Table1[[#This Row],[Complaint_Date]],"MMM")</f>
        <v>Sep</v>
      </c>
      <c r="M996" t="str">
        <f>IF(Table1[[#This Row],[Resolution_Time_Hours]]&lt;=24,"Fast",IF(Table1[[#This Row],[Resolution_Time_Hours]]&lt;=72,"Medium","Slow"))</f>
        <v>Medium</v>
      </c>
    </row>
    <row r="997" spans="1:13" x14ac:dyDescent="0.3">
      <c r="A997" t="s">
        <v>2372</v>
      </c>
      <c r="B997" t="s">
        <v>2373</v>
      </c>
      <c r="C997" t="s">
        <v>34</v>
      </c>
      <c r="D997" t="s">
        <v>38</v>
      </c>
      <c r="E997" s="2" t="s">
        <v>1106</v>
      </c>
      <c r="F997">
        <v>90</v>
      </c>
      <c r="G997" t="s">
        <v>14</v>
      </c>
      <c r="H997" s="2" t="s">
        <v>2820</v>
      </c>
      <c r="J997" t="str">
        <f>IF(Table1[[#This Row],[Resolution_Date]]="NA","Unresolved","Resolved")</f>
        <v>Unresolved</v>
      </c>
      <c r="K997" t="str">
        <f>IF(Table1[[#This Row],[Resolution_Date]]="NA"," ",Table1[[#This Row],[Resolution_Date]]-Table1[[#This Row],[Complaint_Date]])</f>
        <v xml:space="preserve"> </v>
      </c>
      <c r="L997" t="str">
        <f>TEXT(Table1[[#This Row],[Complaint_Date]],"MMM")</f>
        <v>Mar</v>
      </c>
      <c r="M997" t="str">
        <f>IF(Table1[[#This Row],[Resolution_Time_Hours]]&lt;=24,"Fast",IF(Table1[[#This Row],[Resolution_Time_Hours]]&lt;=72,"Medium","Slow"))</f>
        <v>Slow</v>
      </c>
    </row>
    <row r="998" spans="1:13" x14ac:dyDescent="0.3">
      <c r="A998" t="s">
        <v>2374</v>
      </c>
      <c r="B998" t="s">
        <v>2375</v>
      </c>
      <c r="C998" t="s">
        <v>70</v>
      </c>
      <c r="D998" t="s">
        <v>18</v>
      </c>
      <c r="E998" s="2" t="s">
        <v>614</v>
      </c>
      <c r="F998">
        <v>17</v>
      </c>
      <c r="G998" t="s">
        <v>20</v>
      </c>
      <c r="H998" s="2" t="s">
        <v>614</v>
      </c>
      <c r="I998">
        <v>3</v>
      </c>
      <c r="J998" t="str">
        <f>IF(Table1[[#This Row],[Resolution_Date]]="NA","Unresolved","Resolved")</f>
        <v>Resolved</v>
      </c>
      <c r="K998">
        <f>IF(Table1[[#This Row],[Resolution_Date]]="NA"," ",Table1[[#This Row],[Resolution_Date]]-Table1[[#This Row],[Complaint_Date]])</f>
        <v>0</v>
      </c>
      <c r="L998" t="str">
        <f>TEXT(Table1[[#This Row],[Complaint_Date]],"MMM")</f>
        <v>Aug</v>
      </c>
      <c r="M998" t="str">
        <f>IF(Table1[[#This Row],[Resolution_Time_Hours]]&lt;=24,"Fast",IF(Table1[[#This Row],[Resolution_Time_Hours]]&lt;=72,"Medium","Slow"))</f>
        <v>Fast</v>
      </c>
    </row>
    <row r="999" spans="1:13" x14ac:dyDescent="0.3">
      <c r="A999" t="s">
        <v>2376</v>
      </c>
      <c r="B999" t="s">
        <v>2377</v>
      </c>
      <c r="C999" t="s">
        <v>17</v>
      </c>
      <c r="D999" t="s">
        <v>27</v>
      </c>
      <c r="E999" s="2" t="s">
        <v>708</v>
      </c>
      <c r="F999">
        <v>11</v>
      </c>
      <c r="G999" t="s">
        <v>14</v>
      </c>
      <c r="H999" s="2" t="s">
        <v>2820</v>
      </c>
      <c r="J999" t="str">
        <f>IF(Table1[[#This Row],[Resolution_Date]]="NA","Unresolved","Resolved")</f>
        <v>Unresolved</v>
      </c>
      <c r="K999" t="str">
        <f>IF(Table1[[#This Row],[Resolution_Date]]="NA"," ",Table1[[#This Row],[Resolution_Date]]-Table1[[#This Row],[Complaint_Date]])</f>
        <v xml:space="preserve"> </v>
      </c>
      <c r="L999" t="str">
        <f>TEXT(Table1[[#This Row],[Complaint_Date]],"MMM")</f>
        <v>Jan</v>
      </c>
      <c r="M999" t="str">
        <f>IF(Table1[[#This Row],[Resolution_Time_Hours]]&lt;=24,"Fast",IF(Table1[[#This Row],[Resolution_Time_Hours]]&lt;=72,"Medium","Slow"))</f>
        <v>Fast</v>
      </c>
    </row>
    <row r="1000" spans="1:13" x14ac:dyDescent="0.3">
      <c r="A1000" t="s">
        <v>2378</v>
      </c>
      <c r="B1000" t="s">
        <v>2379</v>
      </c>
      <c r="C1000" t="s">
        <v>110</v>
      </c>
      <c r="D1000" t="s">
        <v>12</v>
      </c>
      <c r="E1000" s="2" t="s">
        <v>31</v>
      </c>
      <c r="F1000">
        <v>24</v>
      </c>
      <c r="G1000" t="s">
        <v>40</v>
      </c>
      <c r="H1000" s="2" t="s">
        <v>2820</v>
      </c>
      <c r="J1000" t="str">
        <f>IF(Table1[[#This Row],[Resolution_Date]]="NA","Unresolved","Resolved")</f>
        <v>Unresolved</v>
      </c>
      <c r="K1000" t="str">
        <f>IF(Table1[[#This Row],[Resolution_Date]]="NA"," ",Table1[[#This Row],[Resolution_Date]]-Table1[[#This Row],[Complaint_Date]])</f>
        <v xml:space="preserve"> </v>
      </c>
      <c r="L1000" t="str">
        <f>TEXT(Table1[[#This Row],[Complaint_Date]],"MMM")</f>
        <v>Mar</v>
      </c>
      <c r="M1000" t="str">
        <f>IF(Table1[[#This Row],[Resolution_Time_Hours]]&lt;=24,"Fast",IF(Table1[[#This Row],[Resolution_Time_Hours]]&lt;=72,"Medium","Slow"))</f>
        <v>Fast</v>
      </c>
    </row>
    <row r="1001" spans="1:13" x14ac:dyDescent="0.3">
      <c r="A1001" t="s">
        <v>2380</v>
      </c>
      <c r="B1001" t="s">
        <v>2381</v>
      </c>
      <c r="C1001" t="s">
        <v>70</v>
      </c>
      <c r="D1001" t="s">
        <v>38</v>
      </c>
      <c r="E1001" s="2" t="s">
        <v>944</v>
      </c>
      <c r="F1001">
        <v>22</v>
      </c>
      <c r="G1001" t="s">
        <v>14</v>
      </c>
      <c r="H1001" s="2" t="s">
        <v>2820</v>
      </c>
      <c r="J1001" t="str">
        <f>IF(Table1[[#This Row],[Resolution_Date]]="NA","Unresolved","Resolved")</f>
        <v>Unresolved</v>
      </c>
      <c r="K1001" t="str">
        <f>IF(Table1[[#This Row],[Resolution_Date]]="NA"," ",Table1[[#This Row],[Resolution_Date]]-Table1[[#This Row],[Complaint_Date]])</f>
        <v xml:space="preserve"> </v>
      </c>
      <c r="L1001" t="str">
        <f>TEXT(Table1[[#This Row],[Complaint_Date]],"MMM")</f>
        <v>May</v>
      </c>
      <c r="M1001" t="str">
        <f>IF(Table1[[#This Row],[Resolution_Time_Hours]]&lt;=24,"Fast",IF(Table1[[#This Row],[Resolution_Time_Hours]]&lt;=72,"Medium","Slow"))</f>
        <v>Fast</v>
      </c>
    </row>
    <row r="1002" spans="1:13" x14ac:dyDescent="0.3">
      <c r="A1002" t="s">
        <v>2382</v>
      </c>
      <c r="B1002" t="s">
        <v>2383</v>
      </c>
      <c r="C1002" t="s">
        <v>11</v>
      </c>
      <c r="D1002" t="s">
        <v>38</v>
      </c>
      <c r="E1002" s="2" t="s">
        <v>250</v>
      </c>
      <c r="F1002">
        <v>4</v>
      </c>
      <c r="G1002" t="s">
        <v>40</v>
      </c>
      <c r="H1002" s="2" t="s">
        <v>2820</v>
      </c>
      <c r="J1002" t="str">
        <f>IF(Table1[[#This Row],[Resolution_Date]]="NA","Unresolved","Resolved")</f>
        <v>Unresolved</v>
      </c>
      <c r="K1002" t="str">
        <f>IF(Table1[[#This Row],[Resolution_Date]]="NA"," ",Table1[[#This Row],[Resolution_Date]]-Table1[[#This Row],[Complaint_Date]])</f>
        <v xml:space="preserve"> </v>
      </c>
      <c r="L1002" t="str">
        <f>TEXT(Table1[[#This Row],[Complaint_Date]],"MMM")</f>
        <v>Feb</v>
      </c>
      <c r="M1002" t="str">
        <f>IF(Table1[[#This Row],[Resolution_Time_Hours]]&lt;=24,"Fast",IF(Table1[[#This Row],[Resolution_Time_Hours]]&lt;=72,"Medium","Slow"))</f>
        <v>Fast</v>
      </c>
    </row>
    <row r="1003" spans="1:13" x14ac:dyDescent="0.3">
      <c r="A1003" t="s">
        <v>2384</v>
      </c>
      <c r="B1003" t="s">
        <v>2385</v>
      </c>
      <c r="C1003" t="s">
        <v>17</v>
      </c>
      <c r="D1003" t="s">
        <v>18</v>
      </c>
      <c r="E1003" s="2" t="s">
        <v>1464</v>
      </c>
      <c r="F1003">
        <v>27</v>
      </c>
      <c r="G1003" t="s">
        <v>20</v>
      </c>
      <c r="H1003" s="2" t="s">
        <v>878</v>
      </c>
      <c r="I1003">
        <v>2</v>
      </c>
      <c r="J1003" t="str">
        <f>IF(Table1[[#This Row],[Resolution_Date]]="NA","Unresolved","Resolved")</f>
        <v>Resolved</v>
      </c>
      <c r="K1003">
        <f>IF(Table1[[#This Row],[Resolution_Date]]="NA"," ",Table1[[#This Row],[Resolution_Date]]-Table1[[#This Row],[Complaint_Date]])</f>
        <v>1</v>
      </c>
      <c r="L1003" t="str">
        <f>TEXT(Table1[[#This Row],[Complaint_Date]],"MMM")</f>
        <v>Jul</v>
      </c>
      <c r="M1003" t="str">
        <f>IF(Table1[[#This Row],[Resolution_Time_Hours]]&lt;=24,"Fast",IF(Table1[[#This Row],[Resolution_Time_Hours]]&lt;=72,"Medium","Slow"))</f>
        <v>Medium</v>
      </c>
    </row>
    <row r="1004" spans="1:13" x14ac:dyDescent="0.3">
      <c r="A1004" t="s">
        <v>2386</v>
      </c>
      <c r="B1004" t="s">
        <v>2387</v>
      </c>
      <c r="C1004" t="s">
        <v>34</v>
      </c>
      <c r="D1004" t="s">
        <v>12</v>
      </c>
      <c r="E1004" s="2" t="s">
        <v>405</v>
      </c>
      <c r="F1004">
        <v>51</v>
      </c>
      <c r="G1004" t="s">
        <v>40</v>
      </c>
      <c r="H1004" s="2" t="s">
        <v>2820</v>
      </c>
      <c r="J1004" t="str">
        <f>IF(Table1[[#This Row],[Resolution_Date]]="NA","Unresolved","Resolved")</f>
        <v>Unresolved</v>
      </c>
      <c r="K1004" t="str">
        <f>IF(Table1[[#This Row],[Resolution_Date]]="NA"," ",Table1[[#This Row],[Resolution_Date]]-Table1[[#This Row],[Complaint_Date]])</f>
        <v xml:space="preserve"> </v>
      </c>
      <c r="L1004" t="str">
        <f>TEXT(Table1[[#This Row],[Complaint_Date]],"MMM")</f>
        <v>Dec</v>
      </c>
      <c r="M1004" t="str">
        <f>IF(Table1[[#This Row],[Resolution_Time_Hours]]&lt;=24,"Fast",IF(Table1[[#This Row],[Resolution_Time_Hours]]&lt;=72,"Medium","Slow"))</f>
        <v>Medium</v>
      </c>
    </row>
    <row r="1005" spans="1:13" x14ac:dyDescent="0.3">
      <c r="A1005" t="s">
        <v>2388</v>
      </c>
      <c r="B1005" t="s">
        <v>2389</v>
      </c>
      <c r="C1005" t="s">
        <v>53</v>
      </c>
      <c r="D1005" t="s">
        <v>27</v>
      </c>
      <c r="E1005" s="2" t="s">
        <v>326</v>
      </c>
      <c r="F1005">
        <v>1</v>
      </c>
      <c r="G1005" t="s">
        <v>20</v>
      </c>
      <c r="H1005" s="2" t="s">
        <v>326</v>
      </c>
      <c r="I1005">
        <v>5</v>
      </c>
      <c r="J1005" t="str">
        <f>IF(Table1[[#This Row],[Resolution_Date]]="NA","Unresolved","Resolved")</f>
        <v>Resolved</v>
      </c>
      <c r="K1005">
        <f>IF(Table1[[#This Row],[Resolution_Date]]="NA"," ",Table1[[#This Row],[Resolution_Date]]-Table1[[#This Row],[Complaint_Date]])</f>
        <v>0</v>
      </c>
      <c r="L1005" t="str">
        <f>TEXT(Table1[[#This Row],[Complaint_Date]],"MMM")</f>
        <v>Sep</v>
      </c>
      <c r="M1005" t="str">
        <f>IF(Table1[[#This Row],[Resolution_Time_Hours]]&lt;=24,"Fast",IF(Table1[[#This Row],[Resolution_Time_Hours]]&lt;=72,"Medium","Slow"))</f>
        <v>Fast</v>
      </c>
    </row>
    <row r="1006" spans="1:13" x14ac:dyDescent="0.3">
      <c r="A1006" t="s">
        <v>2390</v>
      </c>
      <c r="B1006" t="s">
        <v>2391</v>
      </c>
      <c r="C1006" t="s">
        <v>11</v>
      </c>
      <c r="D1006" t="s">
        <v>18</v>
      </c>
      <c r="E1006" s="2" t="s">
        <v>159</v>
      </c>
      <c r="F1006">
        <v>27</v>
      </c>
      <c r="G1006" t="s">
        <v>20</v>
      </c>
      <c r="H1006" s="2" t="s">
        <v>160</v>
      </c>
      <c r="I1006">
        <v>5</v>
      </c>
      <c r="J1006" t="str">
        <f>IF(Table1[[#This Row],[Resolution_Date]]="NA","Unresolved","Resolved")</f>
        <v>Resolved</v>
      </c>
      <c r="K1006">
        <f>IF(Table1[[#This Row],[Resolution_Date]]="NA"," ",Table1[[#This Row],[Resolution_Date]]-Table1[[#This Row],[Complaint_Date]])</f>
        <v>1</v>
      </c>
      <c r="L1006" t="str">
        <f>TEXT(Table1[[#This Row],[Complaint_Date]],"MMM")</f>
        <v>May</v>
      </c>
      <c r="M1006" t="str">
        <f>IF(Table1[[#This Row],[Resolution_Time_Hours]]&lt;=24,"Fast",IF(Table1[[#This Row],[Resolution_Time_Hours]]&lt;=72,"Medium","Slow"))</f>
        <v>Medium</v>
      </c>
    </row>
    <row r="1007" spans="1:13" x14ac:dyDescent="0.3">
      <c r="A1007" t="s">
        <v>2392</v>
      </c>
      <c r="B1007" t="s">
        <v>2393</v>
      </c>
      <c r="C1007" t="s">
        <v>70</v>
      </c>
      <c r="D1007" t="s">
        <v>18</v>
      </c>
      <c r="E1007" s="2" t="s">
        <v>1419</v>
      </c>
      <c r="F1007">
        <v>23</v>
      </c>
      <c r="G1007" t="s">
        <v>20</v>
      </c>
      <c r="H1007" s="2" t="s">
        <v>1419</v>
      </c>
      <c r="I1007">
        <v>3</v>
      </c>
      <c r="J1007" t="str">
        <f>IF(Table1[[#This Row],[Resolution_Date]]="NA","Unresolved","Resolved")</f>
        <v>Resolved</v>
      </c>
      <c r="K1007">
        <f>IF(Table1[[#This Row],[Resolution_Date]]="NA"," ",Table1[[#This Row],[Resolution_Date]]-Table1[[#This Row],[Complaint_Date]])</f>
        <v>0</v>
      </c>
      <c r="L1007" t="str">
        <f>TEXT(Table1[[#This Row],[Complaint_Date]],"MMM")</f>
        <v>Dec</v>
      </c>
      <c r="M1007" t="str">
        <f>IF(Table1[[#This Row],[Resolution_Time_Hours]]&lt;=24,"Fast",IF(Table1[[#This Row],[Resolution_Time_Hours]]&lt;=72,"Medium","Slow"))</f>
        <v>Fast</v>
      </c>
    </row>
    <row r="1008" spans="1:13" x14ac:dyDescent="0.3">
      <c r="A1008" t="s">
        <v>2394</v>
      </c>
      <c r="B1008" t="s">
        <v>2395</v>
      </c>
      <c r="C1008" t="s">
        <v>11</v>
      </c>
      <c r="D1008" t="s">
        <v>12</v>
      </c>
      <c r="E1008" s="2" t="s">
        <v>788</v>
      </c>
      <c r="F1008">
        <v>45</v>
      </c>
      <c r="G1008" t="s">
        <v>20</v>
      </c>
      <c r="H1008" s="2" t="s">
        <v>546</v>
      </c>
      <c r="I1008">
        <v>5</v>
      </c>
      <c r="J1008" t="str">
        <f>IF(Table1[[#This Row],[Resolution_Date]]="NA","Unresolved","Resolved")</f>
        <v>Resolved</v>
      </c>
      <c r="K1008">
        <f>IF(Table1[[#This Row],[Resolution_Date]]="NA"," ",Table1[[#This Row],[Resolution_Date]]-Table1[[#This Row],[Complaint_Date]])</f>
        <v>1</v>
      </c>
      <c r="L1008" t="str">
        <f>TEXT(Table1[[#This Row],[Complaint_Date]],"MMM")</f>
        <v>Jan</v>
      </c>
      <c r="M1008" t="str">
        <f>IF(Table1[[#This Row],[Resolution_Time_Hours]]&lt;=24,"Fast",IF(Table1[[#This Row],[Resolution_Time_Hours]]&lt;=72,"Medium","Slow"))</f>
        <v>Medium</v>
      </c>
    </row>
    <row r="1009" spans="1:13" x14ac:dyDescent="0.3">
      <c r="A1009" t="s">
        <v>2396</v>
      </c>
      <c r="B1009" t="s">
        <v>2397</v>
      </c>
      <c r="C1009" t="s">
        <v>43</v>
      </c>
      <c r="D1009" t="s">
        <v>95</v>
      </c>
      <c r="E1009" s="2" t="s">
        <v>220</v>
      </c>
      <c r="F1009">
        <v>67</v>
      </c>
      <c r="G1009" t="s">
        <v>20</v>
      </c>
      <c r="H1009" s="2" t="s">
        <v>49</v>
      </c>
      <c r="I1009">
        <v>1</v>
      </c>
      <c r="J1009" t="str">
        <f>IF(Table1[[#This Row],[Resolution_Date]]="NA","Unresolved","Resolved")</f>
        <v>Resolved</v>
      </c>
      <c r="K1009">
        <f>IF(Table1[[#This Row],[Resolution_Date]]="NA"," ",Table1[[#This Row],[Resolution_Date]]-Table1[[#This Row],[Complaint_Date]])</f>
        <v>2</v>
      </c>
      <c r="L1009" t="str">
        <f>TEXT(Table1[[#This Row],[Complaint_Date]],"MMM")</f>
        <v>Jul</v>
      </c>
      <c r="M1009" t="str">
        <f>IF(Table1[[#This Row],[Resolution_Time_Hours]]&lt;=24,"Fast",IF(Table1[[#This Row],[Resolution_Time_Hours]]&lt;=72,"Medium","Slow"))</f>
        <v>Medium</v>
      </c>
    </row>
    <row r="1010" spans="1:13" x14ac:dyDescent="0.3">
      <c r="A1010" t="s">
        <v>2398</v>
      </c>
      <c r="B1010" t="s">
        <v>2399</v>
      </c>
      <c r="C1010" t="s">
        <v>70</v>
      </c>
      <c r="D1010" t="s">
        <v>18</v>
      </c>
      <c r="E1010" s="2" t="s">
        <v>60</v>
      </c>
      <c r="F1010">
        <v>10</v>
      </c>
      <c r="G1010" t="s">
        <v>20</v>
      </c>
      <c r="H1010" s="2" t="s">
        <v>60</v>
      </c>
      <c r="I1010">
        <v>4</v>
      </c>
      <c r="J1010" t="str">
        <f>IF(Table1[[#This Row],[Resolution_Date]]="NA","Unresolved","Resolved")</f>
        <v>Resolved</v>
      </c>
      <c r="K1010">
        <f>IF(Table1[[#This Row],[Resolution_Date]]="NA"," ",Table1[[#This Row],[Resolution_Date]]-Table1[[#This Row],[Complaint_Date]])</f>
        <v>0</v>
      </c>
      <c r="L1010" t="str">
        <f>TEXT(Table1[[#This Row],[Complaint_Date]],"MMM")</f>
        <v>Sep</v>
      </c>
      <c r="M1010" t="str">
        <f>IF(Table1[[#This Row],[Resolution_Time_Hours]]&lt;=24,"Fast",IF(Table1[[#This Row],[Resolution_Time_Hours]]&lt;=72,"Medium","Slow"))</f>
        <v>Fast</v>
      </c>
    </row>
    <row r="1011" spans="1:13" x14ac:dyDescent="0.3">
      <c r="A1011" t="s">
        <v>2400</v>
      </c>
      <c r="B1011" t="s">
        <v>2401</v>
      </c>
      <c r="C1011" t="s">
        <v>11</v>
      </c>
      <c r="D1011" t="s">
        <v>95</v>
      </c>
      <c r="E1011" s="2" t="s">
        <v>355</v>
      </c>
      <c r="F1011">
        <v>42</v>
      </c>
      <c r="G1011" t="s">
        <v>14</v>
      </c>
      <c r="H1011" s="2" t="s">
        <v>2820</v>
      </c>
      <c r="J1011" t="str">
        <f>IF(Table1[[#This Row],[Resolution_Date]]="NA","Unresolved","Resolved")</f>
        <v>Unresolved</v>
      </c>
      <c r="K1011" t="str">
        <f>IF(Table1[[#This Row],[Resolution_Date]]="NA"," ",Table1[[#This Row],[Resolution_Date]]-Table1[[#This Row],[Complaint_Date]])</f>
        <v xml:space="preserve"> </v>
      </c>
      <c r="L1011" t="str">
        <f>TEXT(Table1[[#This Row],[Complaint_Date]],"MMM")</f>
        <v>May</v>
      </c>
      <c r="M1011" t="str">
        <f>IF(Table1[[#This Row],[Resolution_Time_Hours]]&lt;=24,"Fast",IF(Table1[[#This Row],[Resolution_Time_Hours]]&lt;=72,"Medium","Slow"))</f>
        <v>Medium</v>
      </c>
    </row>
    <row r="1012" spans="1:13" x14ac:dyDescent="0.3">
      <c r="A1012" t="s">
        <v>2402</v>
      </c>
      <c r="B1012" t="s">
        <v>2403</v>
      </c>
      <c r="C1012" t="s">
        <v>11</v>
      </c>
      <c r="D1012" t="s">
        <v>95</v>
      </c>
      <c r="E1012" s="2" t="s">
        <v>1555</v>
      </c>
      <c r="F1012">
        <v>35</v>
      </c>
      <c r="G1012" t="s">
        <v>40</v>
      </c>
      <c r="H1012" s="2" t="s">
        <v>2820</v>
      </c>
      <c r="J1012" t="str">
        <f>IF(Table1[[#This Row],[Resolution_Date]]="NA","Unresolved","Resolved")</f>
        <v>Unresolved</v>
      </c>
      <c r="K1012" t="str">
        <f>IF(Table1[[#This Row],[Resolution_Date]]="NA"," ",Table1[[#This Row],[Resolution_Date]]-Table1[[#This Row],[Complaint_Date]])</f>
        <v xml:space="preserve"> </v>
      </c>
      <c r="L1012" t="str">
        <f>TEXT(Table1[[#This Row],[Complaint_Date]],"MMM")</f>
        <v>Sep</v>
      </c>
      <c r="M1012" t="str">
        <f>IF(Table1[[#This Row],[Resolution_Time_Hours]]&lt;=24,"Fast",IF(Table1[[#This Row],[Resolution_Time_Hours]]&lt;=72,"Medium","Slow"))</f>
        <v>Medium</v>
      </c>
    </row>
    <row r="1013" spans="1:13" x14ac:dyDescent="0.3">
      <c r="A1013" t="s">
        <v>2404</v>
      </c>
      <c r="B1013" t="s">
        <v>2405</v>
      </c>
      <c r="C1013" t="s">
        <v>70</v>
      </c>
      <c r="D1013" t="s">
        <v>95</v>
      </c>
      <c r="E1013" s="2" t="s">
        <v>1486</v>
      </c>
      <c r="F1013">
        <v>7</v>
      </c>
      <c r="G1013" t="s">
        <v>14</v>
      </c>
      <c r="H1013" s="2" t="s">
        <v>2820</v>
      </c>
      <c r="J1013" t="str">
        <f>IF(Table1[[#This Row],[Resolution_Date]]="NA","Unresolved","Resolved")</f>
        <v>Unresolved</v>
      </c>
      <c r="K1013" t="str">
        <f>IF(Table1[[#This Row],[Resolution_Date]]="NA"," ",Table1[[#This Row],[Resolution_Date]]-Table1[[#This Row],[Complaint_Date]])</f>
        <v xml:space="preserve"> </v>
      </c>
      <c r="L1013" t="str">
        <f>TEXT(Table1[[#This Row],[Complaint_Date]],"MMM")</f>
        <v>Apr</v>
      </c>
      <c r="M1013" t="str">
        <f>IF(Table1[[#This Row],[Resolution_Time_Hours]]&lt;=24,"Fast",IF(Table1[[#This Row],[Resolution_Time_Hours]]&lt;=72,"Medium","Slow"))</f>
        <v>Fast</v>
      </c>
    </row>
    <row r="1014" spans="1:13" x14ac:dyDescent="0.3">
      <c r="A1014" t="s">
        <v>2406</v>
      </c>
      <c r="B1014" t="s">
        <v>2407</v>
      </c>
      <c r="C1014" t="s">
        <v>110</v>
      </c>
      <c r="D1014" t="s">
        <v>18</v>
      </c>
      <c r="E1014" s="2" t="s">
        <v>1693</v>
      </c>
      <c r="F1014">
        <v>24</v>
      </c>
      <c r="G1014" t="s">
        <v>14</v>
      </c>
      <c r="H1014" s="2" t="s">
        <v>2820</v>
      </c>
      <c r="J1014" t="str">
        <f>IF(Table1[[#This Row],[Resolution_Date]]="NA","Unresolved","Resolved")</f>
        <v>Unresolved</v>
      </c>
      <c r="K1014" t="str">
        <f>IF(Table1[[#This Row],[Resolution_Date]]="NA"," ",Table1[[#This Row],[Resolution_Date]]-Table1[[#This Row],[Complaint_Date]])</f>
        <v xml:space="preserve"> </v>
      </c>
      <c r="L1014" t="str">
        <f>TEXT(Table1[[#This Row],[Complaint_Date]],"MMM")</f>
        <v>Oct</v>
      </c>
      <c r="M1014" t="str">
        <f>IF(Table1[[#This Row],[Resolution_Time_Hours]]&lt;=24,"Fast",IF(Table1[[#This Row],[Resolution_Time_Hours]]&lt;=72,"Medium","Slow"))</f>
        <v>Fast</v>
      </c>
    </row>
    <row r="1015" spans="1:13" x14ac:dyDescent="0.3">
      <c r="A1015" t="s">
        <v>2408</v>
      </c>
      <c r="B1015" t="s">
        <v>2409</v>
      </c>
      <c r="C1015" t="s">
        <v>70</v>
      </c>
      <c r="D1015" t="s">
        <v>18</v>
      </c>
      <c r="E1015" s="2" t="s">
        <v>273</v>
      </c>
      <c r="F1015">
        <v>22</v>
      </c>
      <c r="G1015" t="s">
        <v>20</v>
      </c>
      <c r="H1015" s="2" t="s">
        <v>273</v>
      </c>
      <c r="I1015">
        <v>3</v>
      </c>
      <c r="J1015" t="str">
        <f>IF(Table1[[#This Row],[Resolution_Date]]="NA","Unresolved","Resolved")</f>
        <v>Resolved</v>
      </c>
      <c r="K1015">
        <f>IF(Table1[[#This Row],[Resolution_Date]]="NA"," ",Table1[[#This Row],[Resolution_Date]]-Table1[[#This Row],[Complaint_Date]])</f>
        <v>0</v>
      </c>
      <c r="L1015" t="str">
        <f>TEXT(Table1[[#This Row],[Complaint_Date]],"MMM")</f>
        <v>Nov</v>
      </c>
      <c r="M1015" t="str">
        <f>IF(Table1[[#This Row],[Resolution_Time_Hours]]&lt;=24,"Fast",IF(Table1[[#This Row],[Resolution_Time_Hours]]&lt;=72,"Medium","Slow"))</f>
        <v>Fast</v>
      </c>
    </row>
    <row r="1016" spans="1:13" x14ac:dyDescent="0.3">
      <c r="A1016" t="s">
        <v>2410</v>
      </c>
      <c r="B1016" t="s">
        <v>2411</v>
      </c>
      <c r="C1016" t="s">
        <v>110</v>
      </c>
      <c r="D1016" t="s">
        <v>95</v>
      </c>
      <c r="E1016" s="2" t="s">
        <v>1780</v>
      </c>
      <c r="F1016">
        <v>11</v>
      </c>
      <c r="G1016" t="s">
        <v>14</v>
      </c>
      <c r="H1016" s="2" t="s">
        <v>2820</v>
      </c>
      <c r="J1016" t="str">
        <f>IF(Table1[[#This Row],[Resolution_Date]]="NA","Unresolved","Resolved")</f>
        <v>Unresolved</v>
      </c>
      <c r="K1016" t="str">
        <f>IF(Table1[[#This Row],[Resolution_Date]]="NA"," ",Table1[[#This Row],[Resolution_Date]]-Table1[[#This Row],[Complaint_Date]])</f>
        <v xml:space="preserve"> </v>
      </c>
      <c r="L1016" t="str">
        <f>TEXT(Table1[[#This Row],[Complaint_Date]],"MMM")</f>
        <v>Apr</v>
      </c>
      <c r="M1016" t="str">
        <f>IF(Table1[[#This Row],[Resolution_Time_Hours]]&lt;=24,"Fast",IF(Table1[[#This Row],[Resolution_Time_Hours]]&lt;=72,"Medium","Slow"))</f>
        <v>Fast</v>
      </c>
    </row>
    <row r="1017" spans="1:13" x14ac:dyDescent="0.3">
      <c r="A1017" t="s">
        <v>2412</v>
      </c>
      <c r="B1017" t="s">
        <v>2413</v>
      </c>
      <c r="C1017" t="s">
        <v>17</v>
      </c>
      <c r="D1017" t="s">
        <v>12</v>
      </c>
      <c r="E1017" s="2" t="s">
        <v>1486</v>
      </c>
      <c r="F1017">
        <v>23</v>
      </c>
      <c r="G1017" t="s">
        <v>20</v>
      </c>
      <c r="H1017" s="2" t="s">
        <v>1486</v>
      </c>
      <c r="I1017">
        <v>3</v>
      </c>
      <c r="J1017" t="str">
        <f>IF(Table1[[#This Row],[Resolution_Date]]="NA","Unresolved","Resolved")</f>
        <v>Resolved</v>
      </c>
      <c r="K1017">
        <f>IF(Table1[[#This Row],[Resolution_Date]]="NA"," ",Table1[[#This Row],[Resolution_Date]]-Table1[[#This Row],[Complaint_Date]])</f>
        <v>0</v>
      </c>
      <c r="L1017" t="str">
        <f>TEXT(Table1[[#This Row],[Complaint_Date]],"MMM")</f>
        <v>Apr</v>
      </c>
      <c r="M1017" t="str">
        <f>IF(Table1[[#This Row],[Resolution_Time_Hours]]&lt;=24,"Fast",IF(Table1[[#This Row],[Resolution_Time_Hours]]&lt;=72,"Medium","Slow"))</f>
        <v>Fast</v>
      </c>
    </row>
    <row r="1018" spans="1:13" x14ac:dyDescent="0.3">
      <c r="A1018" t="s">
        <v>2414</v>
      </c>
      <c r="B1018" t="s">
        <v>2415</v>
      </c>
      <c r="C1018" t="s">
        <v>70</v>
      </c>
      <c r="D1018" t="s">
        <v>95</v>
      </c>
      <c r="E1018" s="2" t="s">
        <v>1071</v>
      </c>
      <c r="F1018">
        <v>24</v>
      </c>
      <c r="G1018" t="s">
        <v>20</v>
      </c>
      <c r="H1018" s="2" t="s">
        <v>204</v>
      </c>
      <c r="I1018">
        <v>5</v>
      </c>
      <c r="J1018" t="str">
        <f>IF(Table1[[#This Row],[Resolution_Date]]="NA","Unresolved","Resolved")</f>
        <v>Resolved</v>
      </c>
      <c r="K1018">
        <f>IF(Table1[[#This Row],[Resolution_Date]]="NA"," ",Table1[[#This Row],[Resolution_Date]]-Table1[[#This Row],[Complaint_Date]])</f>
        <v>1</v>
      </c>
      <c r="L1018" t="str">
        <f>TEXT(Table1[[#This Row],[Complaint_Date]],"MMM")</f>
        <v>Aug</v>
      </c>
      <c r="M1018" t="str">
        <f>IF(Table1[[#This Row],[Resolution_Time_Hours]]&lt;=24,"Fast",IF(Table1[[#This Row],[Resolution_Time_Hours]]&lt;=72,"Medium","Slow"))</f>
        <v>Fast</v>
      </c>
    </row>
    <row r="1019" spans="1:13" x14ac:dyDescent="0.3">
      <c r="A1019" t="s">
        <v>2416</v>
      </c>
      <c r="B1019" t="s">
        <v>2417</v>
      </c>
      <c r="C1019" t="s">
        <v>48</v>
      </c>
      <c r="D1019" t="s">
        <v>95</v>
      </c>
      <c r="E1019" s="2" t="s">
        <v>385</v>
      </c>
      <c r="F1019">
        <v>13</v>
      </c>
      <c r="G1019" t="s">
        <v>20</v>
      </c>
      <c r="H1019" s="2" t="s">
        <v>385</v>
      </c>
      <c r="I1019">
        <v>3</v>
      </c>
      <c r="J1019" t="str">
        <f>IF(Table1[[#This Row],[Resolution_Date]]="NA","Unresolved","Resolved")</f>
        <v>Resolved</v>
      </c>
      <c r="K1019">
        <f>IF(Table1[[#This Row],[Resolution_Date]]="NA"," ",Table1[[#This Row],[Resolution_Date]]-Table1[[#This Row],[Complaint_Date]])</f>
        <v>0</v>
      </c>
      <c r="L1019" t="str">
        <f>TEXT(Table1[[#This Row],[Complaint_Date]],"MMM")</f>
        <v>Jul</v>
      </c>
      <c r="M1019" t="str">
        <f>IF(Table1[[#This Row],[Resolution_Time_Hours]]&lt;=24,"Fast",IF(Table1[[#This Row],[Resolution_Time_Hours]]&lt;=72,"Medium","Slow"))</f>
        <v>Fast</v>
      </c>
    </row>
    <row r="1020" spans="1:13" x14ac:dyDescent="0.3">
      <c r="A1020" t="s">
        <v>2418</v>
      </c>
      <c r="B1020" t="s">
        <v>2419</v>
      </c>
      <c r="C1020" t="s">
        <v>53</v>
      </c>
      <c r="D1020" t="s">
        <v>27</v>
      </c>
      <c r="E1020" s="2" t="s">
        <v>663</v>
      </c>
      <c r="F1020">
        <v>11</v>
      </c>
      <c r="G1020" t="s">
        <v>40</v>
      </c>
      <c r="H1020" s="2" t="s">
        <v>2820</v>
      </c>
      <c r="J1020" t="str">
        <f>IF(Table1[[#This Row],[Resolution_Date]]="NA","Unresolved","Resolved")</f>
        <v>Unresolved</v>
      </c>
      <c r="K1020" t="str">
        <f>IF(Table1[[#This Row],[Resolution_Date]]="NA"," ",Table1[[#This Row],[Resolution_Date]]-Table1[[#This Row],[Complaint_Date]])</f>
        <v xml:space="preserve"> </v>
      </c>
      <c r="L1020" t="str">
        <f>TEXT(Table1[[#This Row],[Complaint_Date]],"MMM")</f>
        <v>Nov</v>
      </c>
      <c r="M1020" t="str">
        <f>IF(Table1[[#This Row],[Resolution_Time_Hours]]&lt;=24,"Fast",IF(Table1[[#This Row],[Resolution_Time_Hours]]&lt;=72,"Medium","Slow"))</f>
        <v>Fast</v>
      </c>
    </row>
    <row r="1021" spans="1:13" x14ac:dyDescent="0.3">
      <c r="A1021" t="s">
        <v>2420</v>
      </c>
      <c r="B1021" t="s">
        <v>2421</v>
      </c>
      <c r="C1021" t="s">
        <v>53</v>
      </c>
      <c r="D1021" t="s">
        <v>12</v>
      </c>
      <c r="E1021" s="2" t="s">
        <v>501</v>
      </c>
      <c r="F1021">
        <v>2</v>
      </c>
      <c r="G1021" t="s">
        <v>20</v>
      </c>
      <c r="H1021" s="2" t="s">
        <v>501</v>
      </c>
      <c r="I1021">
        <v>5</v>
      </c>
      <c r="J1021" t="str">
        <f>IF(Table1[[#This Row],[Resolution_Date]]="NA","Unresolved","Resolved")</f>
        <v>Resolved</v>
      </c>
      <c r="K1021">
        <f>IF(Table1[[#This Row],[Resolution_Date]]="NA"," ",Table1[[#This Row],[Resolution_Date]]-Table1[[#This Row],[Complaint_Date]])</f>
        <v>0</v>
      </c>
      <c r="L1021" t="str">
        <f>TEXT(Table1[[#This Row],[Complaint_Date]],"MMM")</f>
        <v>Jun</v>
      </c>
      <c r="M1021" t="str">
        <f>IF(Table1[[#This Row],[Resolution_Time_Hours]]&lt;=24,"Fast",IF(Table1[[#This Row],[Resolution_Time_Hours]]&lt;=72,"Medium","Slow"))</f>
        <v>Fast</v>
      </c>
    </row>
    <row r="1022" spans="1:13" x14ac:dyDescent="0.3">
      <c r="A1022" t="s">
        <v>2422</v>
      </c>
      <c r="B1022" t="s">
        <v>2423</v>
      </c>
      <c r="C1022" t="s">
        <v>11</v>
      </c>
      <c r="D1022" t="s">
        <v>12</v>
      </c>
      <c r="E1022" s="2" t="s">
        <v>419</v>
      </c>
      <c r="F1022">
        <v>43</v>
      </c>
      <c r="G1022" t="s">
        <v>20</v>
      </c>
      <c r="H1022" s="2" t="s">
        <v>420</v>
      </c>
      <c r="I1022">
        <v>5</v>
      </c>
      <c r="J1022" t="str">
        <f>IF(Table1[[#This Row],[Resolution_Date]]="NA","Unresolved","Resolved")</f>
        <v>Resolved</v>
      </c>
      <c r="K1022">
        <f>IF(Table1[[#This Row],[Resolution_Date]]="NA"," ",Table1[[#This Row],[Resolution_Date]]-Table1[[#This Row],[Complaint_Date]])</f>
        <v>1</v>
      </c>
      <c r="L1022" t="str">
        <f>TEXT(Table1[[#This Row],[Complaint_Date]],"MMM")</f>
        <v>Mar</v>
      </c>
      <c r="M1022" t="str">
        <f>IF(Table1[[#This Row],[Resolution_Time_Hours]]&lt;=24,"Fast",IF(Table1[[#This Row],[Resolution_Time_Hours]]&lt;=72,"Medium","Slow"))</f>
        <v>Medium</v>
      </c>
    </row>
    <row r="1023" spans="1:13" x14ac:dyDescent="0.3">
      <c r="A1023" t="s">
        <v>2424</v>
      </c>
      <c r="B1023" t="s">
        <v>2425</v>
      </c>
      <c r="C1023" t="s">
        <v>34</v>
      </c>
      <c r="D1023" t="s">
        <v>27</v>
      </c>
      <c r="E1023" s="2" t="s">
        <v>146</v>
      </c>
      <c r="F1023">
        <v>51</v>
      </c>
      <c r="G1023" t="s">
        <v>20</v>
      </c>
      <c r="H1023" s="2" t="s">
        <v>711</v>
      </c>
      <c r="I1023">
        <v>1</v>
      </c>
      <c r="J1023" t="str">
        <f>IF(Table1[[#This Row],[Resolution_Date]]="NA","Unresolved","Resolved")</f>
        <v>Resolved</v>
      </c>
      <c r="K1023">
        <f>IF(Table1[[#This Row],[Resolution_Date]]="NA"," ",Table1[[#This Row],[Resolution_Date]]-Table1[[#This Row],[Complaint_Date]])</f>
        <v>2</v>
      </c>
      <c r="L1023" t="str">
        <f>TEXT(Table1[[#This Row],[Complaint_Date]],"MMM")</f>
        <v>Aug</v>
      </c>
      <c r="M1023" t="str">
        <f>IF(Table1[[#This Row],[Resolution_Time_Hours]]&lt;=24,"Fast",IF(Table1[[#This Row],[Resolution_Time_Hours]]&lt;=72,"Medium","Slow"))</f>
        <v>Medium</v>
      </c>
    </row>
    <row r="1024" spans="1:13" x14ac:dyDescent="0.3">
      <c r="A1024" t="s">
        <v>2426</v>
      </c>
      <c r="B1024" t="s">
        <v>2427</v>
      </c>
      <c r="C1024" t="s">
        <v>70</v>
      </c>
      <c r="D1024" t="s">
        <v>12</v>
      </c>
      <c r="E1024" s="2" t="s">
        <v>1010</v>
      </c>
      <c r="F1024">
        <v>18</v>
      </c>
      <c r="G1024" t="s">
        <v>20</v>
      </c>
      <c r="H1024" s="2" t="s">
        <v>1010</v>
      </c>
      <c r="I1024">
        <v>3</v>
      </c>
      <c r="J1024" t="str">
        <f>IF(Table1[[#This Row],[Resolution_Date]]="NA","Unresolved","Resolved")</f>
        <v>Resolved</v>
      </c>
      <c r="K1024">
        <f>IF(Table1[[#This Row],[Resolution_Date]]="NA"," ",Table1[[#This Row],[Resolution_Date]]-Table1[[#This Row],[Complaint_Date]])</f>
        <v>0</v>
      </c>
      <c r="L1024" t="str">
        <f>TEXT(Table1[[#This Row],[Complaint_Date]],"MMM")</f>
        <v>Sep</v>
      </c>
      <c r="M1024" t="str">
        <f>IF(Table1[[#This Row],[Resolution_Time_Hours]]&lt;=24,"Fast",IF(Table1[[#This Row],[Resolution_Time_Hours]]&lt;=72,"Medium","Slow"))</f>
        <v>Fast</v>
      </c>
    </row>
    <row r="1025" spans="1:13" x14ac:dyDescent="0.3">
      <c r="A1025" t="s">
        <v>2428</v>
      </c>
      <c r="B1025" t="s">
        <v>2429</v>
      </c>
      <c r="C1025" t="s">
        <v>70</v>
      </c>
      <c r="D1025" t="s">
        <v>95</v>
      </c>
      <c r="E1025" s="2" t="s">
        <v>85</v>
      </c>
      <c r="F1025">
        <v>17</v>
      </c>
      <c r="G1025" t="s">
        <v>40</v>
      </c>
      <c r="H1025" s="2" t="s">
        <v>2820</v>
      </c>
      <c r="J1025" t="str">
        <f>IF(Table1[[#This Row],[Resolution_Date]]="NA","Unresolved","Resolved")</f>
        <v>Unresolved</v>
      </c>
      <c r="K1025" t="str">
        <f>IF(Table1[[#This Row],[Resolution_Date]]="NA"," ",Table1[[#This Row],[Resolution_Date]]-Table1[[#This Row],[Complaint_Date]])</f>
        <v xml:space="preserve"> </v>
      </c>
      <c r="L1025" t="str">
        <f>TEXT(Table1[[#This Row],[Complaint_Date]],"MMM")</f>
        <v>Mar</v>
      </c>
      <c r="M1025" t="str">
        <f>IF(Table1[[#This Row],[Resolution_Time_Hours]]&lt;=24,"Fast",IF(Table1[[#This Row],[Resolution_Time_Hours]]&lt;=72,"Medium","Slow"))</f>
        <v>Fast</v>
      </c>
    </row>
    <row r="1026" spans="1:13" x14ac:dyDescent="0.3">
      <c r="A1026" t="s">
        <v>2430</v>
      </c>
      <c r="B1026" t="s">
        <v>2431</v>
      </c>
      <c r="C1026" t="s">
        <v>70</v>
      </c>
      <c r="D1026" t="s">
        <v>18</v>
      </c>
      <c r="E1026" s="2" t="s">
        <v>883</v>
      </c>
      <c r="F1026">
        <v>5</v>
      </c>
      <c r="G1026" t="s">
        <v>14</v>
      </c>
      <c r="H1026" s="2" t="s">
        <v>2820</v>
      </c>
      <c r="J1026" t="str">
        <f>IF(Table1[[#This Row],[Resolution_Date]]="NA","Unresolved","Resolved")</f>
        <v>Unresolved</v>
      </c>
      <c r="K1026" t="str">
        <f>IF(Table1[[#This Row],[Resolution_Date]]="NA"," ",Table1[[#This Row],[Resolution_Date]]-Table1[[#This Row],[Complaint_Date]])</f>
        <v xml:space="preserve"> </v>
      </c>
      <c r="L1026" t="str">
        <f>TEXT(Table1[[#This Row],[Complaint_Date]],"MMM")</f>
        <v>Jun</v>
      </c>
      <c r="M1026" t="str">
        <f>IF(Table1[[#This Row],[Resolution_Time_Hours]]&lt;=24,"Fast",IF(Table1[[#This Row],[Resolution_Time_Hours]]&lt;=72,"Medium","Slow"))</f>
        <v>Fast</v>
      </c>
    </row>
    <row r="1027" spans="1:13" x14ac:dyDescent="0.3">
      <c r="A1027" t="s">
        <v>2432</v>
      </c>
      <c r="B1027" t="s">
        <v>2433</v>
      </c>
      <c r="C1027" t="s">
        <v>110</v>
      </c>
      <c r="D1027" t="s">
        <v>27</v>
      </c>
      <c r="E1027" s="2" t="s">
        <v>1672</v>
      </c>
      <c r="F1027">
        <v>12</v>
      </c>
      <c r="G1027" t="s">
        <v>20</v>
      </c>
      <c r="H1027" s="2" t="s">
        <v>1672</v>
      </c>
      <c r="I1027">
        <v>5</v>
      </c>
      <c r="J1027" t="str">
        <f>IF(Table1[[#This Row],[Resolution_Date]]="NA","Unresolved","Resolved")</f>
        <v>Resolved</v>
      </c>
      <c r="K1027">
        <f>IF(Table1[[#This Row],[Resolution_Date]]="NA"," ",Table1[[#This Row],[Resolution_Date]]-Table1[[#This Row],[Complaint_Date]])</f>
        <v>0</v>
      </c>
      <c r="L1027" t="str">
        <f>TEXT(Table1[[#This Row],[Complaint_Date]],"MMM")</f>
        <v>Sep</v>
      </c>
      <c r="M1027" t="str">
        <f>IF(Table1[[#This Row],[Resolution_Time_Hours]]&lt;=24,"Fast",IF(Table1[[#This Row],[Resolution_Time_Hours]]&lt;=72,"Medium","Slow"))</f>
        <v>Fast</v>
      </c>
    </row>
    <row r="1028" spans="1:13" x14ac:dyDescent="0.3">
      <c r="A1028" t="s">
        <v>2434</v>
      </c>
      <c r="B1028" t="s">
        <v>2435</v>
      </c>
      <c r="C1028" t="s">
        <v>110</v>
      </c>
      <c r="D1028" t="s">
        <v>18</v>
      </c>
      <c r="E1028" s="2" t="s">
        <v>658</v>
      </c>
      <c r="F1028">
        <v>18</v>
      </c>
      <c r="G1028" t="s">
        <v>40</v>
      </c>
      <c r="H1028" s="2" t="s">
        <v>2820</v>
      </c>
      <c r="J1028" t="str">
        <f>IF(Table1[[#This Row],[Resolution_Date]]="NA","Unresolved","Resolved")</f>
        <v>Unresolved</v>
      </c>
      <c r="K1028" t="str">
        <f>IF(Table1[[#This Row],[Resolution_Date]]="NA"," ",Table1[[#This Row],[Resolution_Date]]-Table1[[#This Row],[Complaint_Date]])</f>
        <v xml:space="preserve"> </v>
      </c>
      <c r="L1028" t="str">
        <f>TEXT(Table1[[#This Row],[Complaint_Date]],"MMM")</f>
        <v>Jul</v>
      </c>
      <c r="M1028" t="str">
        <f>IF(Table1[[#This Row],[Resolution_Time_Hours]]&lt;=24,"Fast",IF(Table1[[#This Row],[Resolution_Time_Hours]]&lt;=72,"Medium","Slow"))</f>
        <v>Fast</v>
      </c>
    </row>
    <row r="1029" spans="1:13" x14ac:dyDescent="0.3">
      <c r="A1029" t="s">
        <v>2436</v>
      </c>
      <c r="B1029" t="s">
        <v>2437</v>
      </c>
      <c r="C1029" t="s">
        <v>48</v>
      </c>
      <c r="D1029" t="s">
        <v>38</v>
      </c>
      <c r="E1029" s="2" t="s">
        <v>82</v>
      </c>
      <c r="F1029">
        <v>70</v>
      </c>
      <c r="G1029" t="s">
        <v>20</v>
      </c>
      <c r="H1029" s="2" t="s">
        <v>1146</v>
      </c>
      <c r="I1029">
        <v>1</v>
      </c>
      <c r="J1029" t="str">
        <f>IF(Table1[[#This Row],[Resolution_Date]]="NA","Unresolved","Resolved")</f>
        <v>Resolved</v>
      </c>
      <c r="K1029">
        <f>IF(Table1[[#This Row],[Resolution_Date]]="NA"," ",Table1[[#This Row],[Resolution_Date]]-Table1[[#This Row],[Complaint_Date]])</f>
        <v>2</v>
      </c>
      <c r="L1029" t="str">
        <f>TEXT(Table1[[#This Row],[Complaint_Date]],"MMM")</f>
        <v>Sep</v>
      </c>
      <c r="M1029" t="str">
        <f>IF(Table1[[#This Row],[Resolution_Time_Hours]]&lt;=24,"Fast",IF(Table1[[#This Row],[Resolution_Time_Hours]]&lt;=72,"Medium","Slow"))</f>
        <v>Medium</v>
      </c>
    </row>
    <row r="1030" spans="1:13" x14ac:dyDescent="0.3">
      <c r="A1030" t="s">
        <v>2438</v>
      </c>
      <c r="B1030" t="s">
        <v>2439</v>
      </c>
      <c r="C1030" t="s">
        <v>48</v>
      </c>
      <c r="D1030" t="s">
        <v>38</v>
      </c>
      <c r="E1030" s="2" t="s">
        <v>208</v>
      </c>
      <c r="F1030">
        <v>51</v>
      </c>
      <c r="G1030" t="s">
        <v>14</v>
      </c>
      <c r="H1030" s="2" t="s">
        <v>2820</v>
      </c>
      <c r="J1030" t="str">
        <f>IF(Table1[[#This Row],[Resolution_Date]]="NA","Unresolved","Resolved")</f>
        <v>Unresolved</v>
      </c>
      <c r="K1030" t="str">
        <f>IF(Table1[[#This Row],[Resolution_Date]]="NA"," ",Table1[[#This Row],[Resolution_Date]]-Table1[[#This Row],[Complaint_Date]])</f>
        <v xml:space="preserve"> </v>
      </c>
      <c r="L1030" t="str">
        <f>TEXT(Table1[[#This Row],[Complaint_Date]],"MMM")</f>
        <v>Jan</v>
      </c>
      <c r="M1030" t="str">
        <f>IF(Table1[[#This Row],[Resolution_Time_Hours]]&lt;=24,"Fast",IF(Table1[[#This Row],[Resolution_Time_Hours]]&lt;=72,"Medium","Slow"))</f>
        <v>Medium</v>
      </c>
    </row>
    <row r="1031" spans="1:13" x14ac:dyDescent="0.3">
      <c r="A1031" t="s">
        <v>2440</v>
      </c>
      <c r="B1031" t="s">
        <v>2441</v>
      </c>
      <c r="C1031" t="s">
        <v>48</v>
      </c>
      <c r="D1031" t="s">
        <v>18</v>
      </c>
      <c r="E1031" s="2" t="s">
        <v>525</v>
      </c>
      <c r="F1031">
        <v>53</v>
      </c>
      <c r="G1031" t="s">
        <v>14</v>
      </c>
      <c r="H1031" s="2" t="s">
        <v>2820</v>
      </c>
      <c r="J1031" t="str">
        <f>IF(Table1[[#This Row],[Resolution_Date]]="NA","Unresolved","Resolved")</f>
        <v>Unresolved</v>
      </c>
      <c r="K1031" t="str">
        <f>IF(Table1[[#This Row],[Resolution_Date]]="NA"," ",Table1[[#This Row],[Resolution_Date]]-Table1[[#This Row],[Complaint_Date]])</f>
        <v xml:space="preserve"> </v>
      </c>
      <c r="L1031" t="str">
        <f>TEXT(Table1[[#This Row],[Complaint_Date]],"MMM")</f>
        <v>Mar</v>
      </c>
      <c r="M1031" t="str">
        <f>IF(Table1[[#This Row],[Resolution_Time_Hours]]&lt;=24,"Fast",IF(Table1[[#This Row],[Resolution_Time_Hours]]&lt;=72,"Medium","Slow"))</f>
        <v>Medium</v>
      </c>
    </row>
    <row r="1032" spans="1:13" x14ac:dyDescent="0.3">
      <c r="A1032" t="s">
        <v>2442</v>
      </c>
      <c r="B1032" t="s">
        <v>2443</v>
      </c>
      <c r="C1032" t="s">
        <v>34</v>
      </c>
      <c r="D1032" t="s">
        <v>12</v>
      </c>
      <c r="E1032" s="2" t="s">
        <v>96</v>
      </c>
      <c r="F1032">
        <v>96</v>
      </c>
      <c r="G1032" t="s">
        <v>40</v>
      </c>
      <c r="H1032" s="2" t="s">
        <v>2820</v>
      </c>
      <c r="J1032" t="str">
        <f>IF(Table1[[#This Row],[Resolution_Date]]="NA","Unresolved","Resolved")</f>
        <v>Unresolved</v>
      </c>
      <c r="K1032" t="str">
        <f>IF(Table1[[#This Row],[Resolution_Date]]="NA"," ",Table1[[#This Row],[Resolution_Date]]-Table1[[#This Row],[Complaint_Date]])</f>
        <v xml:space="preserve"> </v>
      </c>
      <c r="L1032" t="str">
        <f>TEXT(Table1[[#This Row],[Complaint_Date]],"MMM")</f>
        <v>Feb</v>
      </c>
      <c r="M1032" t="str">
        <f>IF(Table1[[#This Row],[Resolution_Time_Hours]]&lt;=24,"Fast",IF(Table1[[#This Row],[Resolution_Time_Hours]]&lt;=72,"Medium","Slow"))</f>
        <v>Slow</v>
      </c>
    </row>
    <row r="1033" spans="1:13" x14ac:dyDescent="0.3">
      <c r="A1033" t="s">
        <v>2444</v>
      </c>
      <c r="B1033" t="s">
        <v>2445</v>
      </c>
      <c r="C1033" t="s">
        <v>53</v>
      </c>
      <c r="D1033" t="s">
        <v>18</v>
      </c>
      <c r="E1033" s="2" t="s">
        <v>687</v>
      </c>
      <c r="F1033">
        <v>1</v>
      </c>
      <c r="G1033" t="s">
        <v>20</v>
      </c>
      <c r="H1033" s="2" t="s">
        <v>687</v>
      </c>
      <c r="I1033">
        <v>5</v>
      </c>
      <c r="J1033" t="str">
        <f>IF(Table1[[#This Row],[Resolution_Date]]="NA","Unresolved","Resolved")</f>
        <v>Resolved</v>
      </c>
      <c r="K1033">
        <f>IF(Table1[[#This Row],[Resolution_Date]]="NA"," ",Table1[[#This Row],[Resolution_Date]]-Table1[[#This Row],[Complaint_Date]])</f>
        <v>0</v>
      </c>
      <c r="L1033" t="str">
        <f>TEXT(Table1[[#This Row],[Complaint_Date]],"MMM")</f>
        <v>Nov</v>
      </c>
      <c r="M1033" t="str">
        <f>IF(Table1[[#This Row],[Resolution_Time_Hours]]&lt;=24,"Fast",IF(Table1[[#This Row],[Resolution_Time_Hours]]&lt;=72,"Medium","Slow"))</f>
        <v>Fast</v>
      </c>
    </row>
    <row r="1034" spans="1:13" x14ac:dyDescent="0.3">
      <c r="A1034" t="s">
        <v>2446</v>
      </c>
      <c r="B1034" t="s">
        <v>2447</v>
      </c>
      <c r="C1034" t="s">
        <v>43</v>
      </c>
      <c r="D1034" t="s">
        <v>38</v>
      </c>
      <c r="E1034" s="2" t="s">
        <v>1489</v>
      </c>
      <c r="F1034">
        <v>13</v>
      </c>
      <c r="G1034" t="s">
        <v>40</v>
      </c>
      <c r="H1034" s="2" t="s">
        <v>2820</v>
      </c>
      <c r="J1034" t="str">
        <f>IF(Table1[[#This Row],[Resolution_Date]]="NA","Unresolved","Resolved")</f>
        <v>Unresolved</v>
      </c>
      <c r="K1034" t="str">
        <f>IF(Table1[[#This Row],[Resolution_Date]]="NA"," ",Table1[[#This Row],[Resolution_Date]]-Table1[[#This Row],[Complaint_Date]])</f>
        <v xml:space="preserve"> </v>
      </c>
      <c r="L1034" t="str">
        <f>TEXT(Table1[[#This Row],[Complaint_Date]],"MMM")</f>
        <v>Jun</v>
      </c>
      <c r="M1034" t="str">
        <f>IF(Table1[[#This Row],[Resolution_Time_Hours]]&lt;=24,"Fast",IF(Table1[[#This Row],[Resolution_Time_Hours]]&lt;=72,"Medium","Slow"))</f>
        <v>Fast</v>
      </c>
    </row>
    <row r="1035" spans="1:13" x14ac:dyDescent="0.3">
      <c r="A1035" t="s">
        <v>2448</v>
      </c>
      <c r="B1035" t="s">
        <v>2449</v>
      </c>
      <c r="C1035" t="s">
        <v>43</v>
      </c>
      <c r="D1035" t="s">
        <v>12</v>
      </c>
      <c r="E1035" s="2" t="s">
        <v>50</v>
      </c>
      <c r="F1035">
        <v>43</v>
      </c>
      <c r="G1035" t="s">
        <v>14</v>
      </c>
      <c r="H1035" s="2" t="s">
        <v>2820</v>
      </c>
      <c r="J1035" t="str">
        <f>IF(Table1[[#This Row],[Resolution_Date]]="NA","Unresolved","Resolved")</f>
        <v>Unresolved</v>
      </c>
      <c r="K1035" t="str">
        <f>IF(Table1[[#This Row],[Resolution_Date]]="NA"," ",Table1[[#This Row],[Resolution_Date]]-Table1[[#This Row],[Complaint_Date]])</f>
        <v xml:space="preserve"> </v>
      </c>
      <c r="L1035" t="str">
        <f>TEXT(Table1[[#This Row],[Complaint_Date]],"MMM")</f>
        <v>Jul</v>
      </c>
      <c r="M1035" t="str">
        <f>IF(Table1[[#This Row],[Resolution_Time_Hours]]&lt;=24,"Fast",IF(Table1[[#This Row],[Resolution_Time_Hours]]&lt;=72,"Medium","Slow"))</f>
        <v>Medium</v>
      </c>
    </row>
    <row r="1036" spans="1:13" x14ac:dyDescent="0.3">
      <c r="A1036" t="s">
        <v>2450</v>
      </c>
      <c r="B1036" t="s">
        <v>2451</v>
      </c>
      <c r="C1036" t="s">
        <v>48</v>
      </c>
      <c r="D1036" t="s">
        <v>27</v>
      </c>
      <c r="E1036" s="2" t="s">
        <v>1288</v>
      </c>
      <c r="F1036">
        <v>65</v>
      </c>
      <c r="G1036" t="s">
        <v>40</v>
      </c>
      <c r="H1036" s="2" t="s">
        <v>2820</v>
      </c>
      <c r="J1036" t="str">
        <f>IF(Table1[[#This Row],[Resolution_Date]]="NA","Unresolved","Resolved")</f>
        <v>Unresolved</v>
      </c>
      <c r="K1036" t="str">
        <f>IF(Table1[[#This Row],[Resolution_Date]]="NA"," ",Table1[[#This Row],[Resolution_Date]]-Table1[[#This Row],[Complaint_Date]])</f>
        <v xml:space="preserve"> </v>
      </c>
      <c r="L1036" t="str">
        <f>TEXT(Table1[[#This Row],[Complaint_Date]],"MMM")</f>
        <v>Nov</v>
      </c>
      <c r="M1036" t="str">
        <f>IF(Table1[[#This Row],[Resolution_Time_Hours]]&lt;=24,"Fast",IF(Table1[[#This Row],[Resolution_Time_Hours]]&lt;=72,"Medium","Slow"))</f>
        <v>Medium</v>
      </c>
    </row>
    <row r="1037" spans="1:13" x14ac:dyDescent="0.3">
      <c r="A1037" t="s">
        <v>2452</v>
      </c>
      <c r="B1037" t="s">
        <v>2453</v>
      </c>
      <c r="C1037" t="s">
        <v>70</v>
      </c>
      <c r="D1037" t="s">
        <v>27</v>
      </c>
      <c r="E1037" s="2" t="s">
        <v>947</v>
      </c>
      <c r="F1037">
        <v>17</v>
      </c>
      <c r="G1037" t="s">
        <v>20</v>
      </c>
      <c r="H1037" s="2" t="s">
        <v>947</v>
      </c>
      <c r="I1037">
        <v>3</v>
      </c>
      <c r="J1037" t="str">
        <f>IF(Table1[[#This Row],[Resolution_Date]]="NA","Unresolved","Resolved")</f>
        <v>Resolved</v>
      </c>
      <c r="K1037">
        <f>IF(Table1[[#This Row],[Resolution_Date]]="NA"," ",Table1[[#This Row],[Resolution_Date]]-Table1[[#This Row],[Complaint_Date]])</f>
        <v>0</v>
      </c>
      <c r="L1037" t="str">
        <f>TEXT(Table1[[#This Row],[Complaint_Date]],"MMM")</f>
        <v>Mar</v>
      </c>
      <c r="M1037" t="str">
        <f>IF(Table1[[#This Row],[Resolution_Time_Hours]]&lt;=24,"Fast",IF(Table1[[#This Row],[Resolution_Time_Hours]]&lt;=72,"Medium","Slow"))</f>
        <v>Fast</v>
      </c>
    </row>
    <row r="1038" spans="1:13" x14ac:dyDescent="0.3">
      <c r="A1038" t="s">
        <v>2454</v>
      </c>
      <c r="B1038" t="s">
        <v>2455</v>
      </c>
      <c r="C1038" t="s">
        <v>43</v>
      </c>
      <c r="D1038" t="s">
        <v>95</v>
      </c>
      <c r="E1038" s="2" t="s">
        <v>555</v>
      </c>
      <c r="F1038">
        <v>52</v>
      </c>
      <c r="G1038" t="s">
        <v>14</v>
      </c>
      <c r="H1038" s="2" t="s">
        <v>2820</v>
      </c>
      <c r="J1038" t="str">
        <f>IF(Table1[[#This Row],[Resolution_Date]]="NA","Unresolved","Resolved")</f>
        <v>Unresolved</v>
      </c>
      <c r="K1038" t="str">
        <f>IF(Table1[[#This Row],[Resolution_Date]]="NA"," ",Table1[[#This Row],[Resolution_Date]]-Table1[[#This Row],[Complaint_Date]])</f>
        <v xml:space="preserve"> </v>
      </c>
      <c r="L1038" t="str">
        <f>TEXT(Table1[[#This Row],[Complaint_Date]],"MMM")</f>
        <v>Mar</v>
      </c>
      <c r="M1038" t="str">
        <f>IF(Table1[[#This Row],[Resolution_Time_Hours]]&lt;=24,"Fast",IF(Table1[[#This Row],[Resolution_Time_Hours]]&lt;=72,"Medium","Slow"))</f>
        <v>Medium</v>
      </c>
    </row>
    <row r="1039" spans="1:13" x14ac:dyDescent="0.3">
      <c r="A1039" t="s">
        <v>2456</v>
      </c>
      <c r="B1039" t="s">
        <v>2457</v>
      </c>
      <c r="C1039" t="s">
        <v>34</v>
      </c>
      <c r="D1039" t="s">
        <v>95</v>
      </c>
      <c r="E1039" s="2" t="s">
        <v>510</v>
      </c>
      <c r="F1039">
        <v>43</v>
      </c>
      <c r="G1039" t="s">
        <v>20</v>
      </c>
      <c r="H1039" s="2" t="s">
        <v>511</v>
      </c>
      <c r="I1039">
        <v>2</v>
      </c>
      <c r="J1039" t="str">
        <f>IF(Table1[[#This Row],[Resolution_Date]]="NA","Unresolved","Resolved")</f>
        <v>Resolved</v>
      </c>
      <c r="K1039">
        <f>IF(Table1[[#This Row],[Resolution_Date]]="NA"," ",Table1[[#This Row],[Resolution_Date]]-Table1[[#This Row],[Complaint_Date]])</f>
        <v>1</v>
      </c>
      <c r="L1039" t="str">
        <f>TEXT(Table1[[#This Row],[Complaint_Date]],"MMM")</f>
        <v>Jul</v>
      </c>
      <c r="M1039" t="str">
        <f>IF(Table1[[#This Row],[Resolution_Time_Hours]]&lt;=24,"Fast",IF(Table1[[#This Row],[Resolution_Time_Hours]]&lt;=72,"Medium","Slow"))</f>
        <v>Medium</v>
      </c>
    </row>
    <row r="1040" spans="1:13" x14ac:dyDescent="0.3">
      <c r="A1040" t="s">
        <v>2458</v>
      </c>
      <c r="B1040" t="s">
        <v>2459</v>
      </c>
      <c r="C1040" t="s">
        <v>48</v>
      </c>
      <c r="D1040" t="s">
        <v>95</v>
      </c>
      <c r="E1040" s="2" t="s">
        <v>1317</v>
      </c>
      <c r="F1040">
        <v>39</v>
      </c>
      <c r="G1040" t="s">
        <v>20</v>
      </c>
      <c r="H1040" s="2" t="s">
        <v>1318</v>
      </c>
      <c r="I1040">
        <v>2</v>
      </c>
      <c r="J1040" t="str">
        <f>IF(Table1[[#This Row],[Resolution_Date]]="NA","Unresolved","Resolved")</f>
        <v>Resolved</v>
      </c>
      <c r="K1040">
        <f>IF(Table1[[#This Row],[Resolution_Date]]="NA"," ",Table1[[#This Row],[Resolution_Date]]-Table1[[#This Row],[Complaint_Date]])</f>
        <v>1</v>
      </c>
      <c r="L1040" t="str">
        <f>TEXT(Table1[[#This Row],[Complaint_Date]],"MMM")</f>
        <v>Jun</v>
      </c>
      <c r="M1040" t="str">
        <f>IF(Table1[[#This Row],[Resolution_Time_Hours]]&lt;=24,"Fast",IF(Table1[[#This Row],[Resolution_Time_Hours]]&lt;=72,"Medium","Slow"))</f>
        <v>Medium</v>
      </c>
    </row>
    <row r="1041" spans="1:13" x14ac:dyDescent="0.3">
      <c r="A1041" t="s">
        <v>2460</v>
      </c>
      <c r="B1041" t="s">
        <v>2461</v>
      </c>
      <c r="C1041" t="s">
        <v>48</v>
      </c>
      <c r="D1041" t="s">
        <v>38</v>
      </c>
      <c r="E1041" s="2" t="s">
        <v>195</v>
      </c>
      <c r="F1041">
        <v>36</v>
      </c>
      <c r="G1041" t="s">
        <v>20</v>
      </c>
      <c r="H1041" s="2" t="s">
        <v>74</v>
      </c>
      <c r="I1041">
        <v>2</v>
      </c>
      <c r="J1041" t="str">
        <f>IF(Table1[[#This Row],[Resolution_Date]]="NA","Unresolved","Resolved")</f>
        <v>Resolved</v>
      </c>
      <c r="K1041">
        <f>IF(Table1[[#This Row],[Resolution_Date]]="NA"," ",Table1[[#This Row],[Resolution_Date]]-Table1[[#This Row],[Complaint_Date]])</f>
        <v>1</v>
      </c>
      <c r="L1041" t="str">
        <f>TEXT(Table1[[#This Row],[Complaint_Date]],"MMM")</f>
        <v>Aug</v>
      </c>
      <c r="M1041" t="str">
        <f>IF(Table1[[#This Row],[Resolution_Time_Hours]]&lt;=24,"Fast",IF(Table1[[#This Row],[Resolution_Time_Hours]]&lt;=72,"Medium","Slow"))</f>
        <v>Medium</v>
      </c>
    </row>
    <row r="1042" spans="1:13" x14ac:dyDescent="0.3">
      <c r="A1042" t="s">
        <v>2462</v>
      </c>
      <c r="B1042" t="s">
        <v>2463</v>
      </c>
      <c r="C1042" t="s">
        <v>110</v>
      </c>
      <c r="D1042" t="s">
        <v>18</v>
      </c>
      <c r="E1042" s="2" t="s">
        <v>886</v>
      </c>
      <c r="F1042">
        <v>20</v>
      </c>
      <c r="G1042" t="s">
        <v>20</v>
      </c>
      <c r="H1042" s="2" t="s">
        <v>886</v>
      </c>
      <c r="I1042">
        <v>3</v>
      </c>
      <c r="J1042" t="str">
        <f>IF(Table1[[#This Row],[Resolution_Date]]="NA","Unresolved","Resolved")</f>
        <v>Resolved</v>
      </c>
      <c r="K1042">
        <f>IF(Table1[[#This Row],[Resolution_Date]]="NA"," ",Table1[[#This Row],[Resolution_Date]]-Table1[[#This Row],[Complaint_Date]])</f>
        <v>0</v>
      </c>
      <c r="L1042" t="str">
        <f>TEXT(Table1[[#This Row],[Complaint_Date]],"MMM")</f>
        <v>Jan</v>
      </c>
      <c r="M1042" t="str">
        <f>IF(Table1[[#This Row],[Resolution_Time_Hours]]&lt;=24,"Fast",IF(Table1[[#This Row],[Resolution_Time_Hours]]&lt;=72,"Medium","Slow"))</f>
        <v>Fast</v>
      </c>
    </row>
    <row r="1043" spans="1:13" x14ac:dyDescent="0.3">
      <c r="A1043" t="s">
        <v>2464</v>
      </c>
      <c r="B1043" t="s">
        <v>2465</v>
      </c>
      <c r="C1043" t="s">
        <v>110</v>
      </c>
      <c r="D1043" t="s">
        <v>27</v>
      </c>
      <c r="E1043" s="2" t="s">
        <v>933</v>
      </c>
      <c r="F1043">
        <v>15</v>
      </c>
      <c r="G1043" t="s">
        <v>40</v>
      </c>
      <c r="H1043" s="2" t="s">
        <v>2820</v>
      </c>
      <c r="J1043" t="str">
        <f>IF(Table1[[#This Row],[Resolution_Date]]="NA","Unresolved","Resolved")</f>
        <v>Unresolved</v>
      </c>
      <c r="K1043" t="str">
        <f>IF(Table1[[#This Row],[Resolution_Date]]="NA"," ",Table1[[#This Row],[Resolution_Date]]-Table1[[#This Row],[Complaint_Date]])</f>
        <v xml:space="preserve"> </v>
      </c>
      <c r="L1043" t="str">
        <f>TEXT(Table1[[#This Row],[Complaint_Date]],"MMM")</f>
        <v>Jan</v>
      </c>
      <c r="M1043" t="str">
        <f>IF(Table1[[#This Row],[Resolution_Time_Hours]]&lt;=24,"Fast",IF(Table1[[#This Row],[Resolution_Time_Hours]]&lt;=72,"Medium","Slow"))</f>
        <v>Fast</v>
      </c>
    </row>
    <row r="1044" spans="1:13" x14ac:dyDescent="0.3">
      <c r="A1044" t="s">
        <v>2466</v>
      </c>
      <c r="B1044" t="s">
        <v>2467</v>
      </c>
      <c r="C1044" t="s">
        <v>11</v>
      </c>
      <c r="D1044" t="s">
        <v>38</v>
      </c>
      <c r="E1044" s="2" t="s">
        <v>555</v>
      </c>
      <c r="F1044">
        <v>9</v>
      </c>
      <c r="G1044" t="s">
        <v>20</v>
      </c>
      <c r="H1044" s="2" t="s">
        <v>555</v>
      </c>
      <c r="I1044">
        <v>4</v>
      </c>
      <c r="J1044" t="str">
        <f>IF(Table1[[#This Row],[Resolution_Date]]="NA","Unresolved","Resolved")</f>
        <v>Resolved</v>
      </c>
      <c r="K1044">
        <f>IF(Table1[[#This Row],[Resolution_Date]]="NA"," ",Table1[[#This Row],[Resolution_Date]]-Table1[[#This Row],[Complaint_Date]])</f>
        <v>0</v>
      </c>
      <c r="L1044" t="str">
        <f>TEXT(Table1[[#This Row],[Complaint_Date]],"MMM")</f>
        <v>Mar</v>
      </c>
      <c r="M1044" t="str">
        <f>IF(Table1[[#This Row],[Resolution_Time_Hours]]&lt;=24,"Fast",IF(Table1[[#This Row],[Resolution_Time_Hours]]&lt;=72,"Medium","Slow"))</f>
        <v>Fast</v>
      </c>
    </row>
    <row r="1045" spans="1:13" x14ac:dyDescent="0.3">
      <c r="A1045" t="s">
        <v>2468</v>
      </c>
      <c r="B1045" t="s">
        <v>2469</v>
      </c>
      <c r="C1045" t="s">
        <v>110</v>
      </c>
      <c r="D1045" t="s">
        <v>18</v>
      </c>
      <c r="E1045" s="2" t="s">
        <v>64</v>
      </c>
      <c r="F1045">
        <v>21</v>
      </c>
      <c r="G1045" t="s">
        <v>20</v>
      </c>
      <c r="H1045" s="2" t="s">
        <v>64</v>
      </c>
      <c r="I1045">
        <v>3</v>
      </c>
      <c r="J1045" t="str">
        <f>IF(Table1[[#This Row],[Resolution_Date]]="NA","Unresolved","Resolved")</f>
        <v>Resolved</v>
      </c>
      <c r="K1045">
        <f>IF(Table1[[#This Row],[Resolution_Date]]="NA"," ",Table1[[#This Row],[Resolution_Date]]-Table1[[#This Row],[Complaint_Date]])</f>
        <v>0</v>
      </c>
      <c r="L1045" t="str">
        <f>TEXT(Table1[[#This Row],[Complaint_Date]],"MMM")</f>
        <v>Aug</v>
      </c>
      <c r="M1045" t="str">
        <f>IF(Table1[[#This Row],[Resolution_Time_Hours]]&lt;=24,"Fast",IF(Table1[[#This Row],[Resolution_Time_Hours]]&lt;=72,"Medium","Slow"))</f>
        <v>Fast</v>
      </c>
    </row>
    <row r="1046" spans="1:13" x14ac:dyDescent="0.3">
      <c r="A1046" t="s">
        <v>2470</v>
      </c>
      <c r="B1046" t="s">
        <v>2471</v>
      </c>
      <c r="C1046" t="s">
        <v>70</v>
      </c>
      <c r="D1046" t="s">
        <v>18</v>
      </c>
      <c r="E1046" s="2" t="s">
        <v>192</v>
      </c>
      <c r="F1046">
        <v>24</v>
      </c>
      <c r="G1046" t="s">
        <v>20</v>
      </c>
      <c r="H1046" s="2" t="s">
        <v>363</v>
      </c>
      <c r="I1046">
        <v>3</v>
      </c>
      <c r="J1046" t="str">
        <f>IF(Table1[[#This Row],[Resolution_Date]]="NA","Unresolved","Resolved")</f>
        <v>Resolved</v>
      </c>
      <c r="K1046">
        <f>IF(Table1[[#This Row],[Resolution_Date]]="NA"," ",Table1[[#This Row],[Resolution_Date]]-Table1[[#This Row],[Complaint_Date]])</f>
        <v>1</v>
      </c>
      <c r="L1046" t="str">
        <f>TEXT(Table1[[#This Row],[Complaint_Date]],"MMM")</f>
        <v>Nov</v>
      </c>
      <c r="M1046" t="str">
        <f>IF(Table1[[#This Row],[Resolution_Time_Hours]]&lt;=24,"Fast",IF(Table1[[#This Row],[Resolution_Time_Hours]]&lt;=72,"Medium","Slow"))</f>
        <v>Fast</v>
      </c>
    </row>
    <row r="1047" spans="1:13" x14ac:dyDescent="0.3">
      <c r="A1047" t="s">
        <v>2472</v>
      </c>
      <c r="B1047" t="s">
        <v>2473</v>
      </c>
      <c r="C1047" t="s">
        <v>70</v>
      </c>
      <c r="D1047" t="s">
        <v>12</v>
      </c>
      <c r="E1047" s="2" t="s">
        <v>1328</v>
      </c>
      <c r="F1047">
        <v>17</v>
      </c>
      <c r="G1047" t="s">
        <v>40</v>
      </c>
      <c r="H1047" s="2" t="s">
        <v>2820</v>
      </c>
      <c r="J1047" t="str">
        <f>IF(Table1[[#This Row],[Resolution_Date]]="NA","Unresolved","Resolved")</f>
        <v>Unresolved</v>
      </c>
      <c r="K1047" t="str">
        <f>IF(Table1[[#This Row],[Resolution_Date]]="NA"," ",Table1[[#This Row],[Resolution_Date]]-Table1[[#This Row],[Complaint_Date]])</f>
        <v xml:space="preserve"> </v>
      </c>
      <c r="L1047" t="str">
        <f>TEXT(Table1[[#This Row],[Complaint_Date]],"MMM")</f>
        <v>Jan</v>
      </c>
      <c r="M1047" t="str">
        <f>IF(Table1[[#This Row],[Resolution_Time_Hours]]&lt;=24,"Fast",IF(Table1[[#This Row],[Resolution_Time_Hours]]&lt;=72,"Medium","Slow"))</f>
        <v>Fast</v>
      </c>
    </row>
    <row r="1048" spans="1:13" x14ac:dyDescent="0.3">
      <c r="A1048" t="s">
        <v>2474</v>
      </c>
      <c r="B1048" t="s">
        <v>2475</v>
      </c>
      <c r="C1048" t="s">
        <v>70</v>
      </c>
      <c r="D1048" t="s">
        <v>12</v>
      </c>
      <c r="E1048" s="2" t="s">
        <v>915</v>
      </c>
      <c r="F1048">
        <v>20</v>
      </c>
      <c r="G1048" t="s">
        <v>20</v>
      </c>
      <c r="H1048" s="2" t="s">
        <v>915</v>
      </c>
      <c r="I1048">
        <v>3</v>
      </c>
      <c r="J1048" t="str">
        <f>IF(Table1[[#This Row],[Resolution_Date]]="NA","Unresolved","Resolved")</f>
        <v>Resolved</v>
      </c>
      <c r="K1048">
        <f>IF(Table1[[#This Row],[Resolution_Date]]="NA"," ",Table1[[#This Row],[Resolution_Date]]-Table1[[#This Row],[Complaint_Date]])</f>
        <v>0</v>
      </c>
      <c r="L1048" t="str">
        <f>TEXT(Table1[[#This Row],[Complaint_Date]],"MMM")</f>
        <v>Feb</v>
      </c>
      <c r="M1048" t="str">
        <f>IF(Table1[[#This Row],[Resolution_Time_Hours]]&lt;=24,"Fast",IF(Table1[[#This Row],[Resolution_Time_Hours]]&lt;=72,"Medium","Slow"))</f>
        <v>Fast</v>
      </c>
    </row>
    <row r="1049" spans="1:13" x14ac:dyDescent="0.3">
      <c r="A1049" t="s">
        <v>2476</v>
      </c>
      <c r="B1049" t="s">
        <v>2477</v>
      </c>
      <c r="C1049" t="s">
        <v>53</v>
      </c>
      <c r="D1049" t="s">
        <v>27</v>
      </c>
      <c r="E1049" s="2" t="s">
        <v>241</v>
      </c>
      <c r="F1049">
        <v>9</v>
      </c>
      <c r="G1049" t="s">
        <v>20</v>
      </c>
      <c r="H1049" s="2" t="s">
        <v>241</v>
      </c>
      <c r="I1049">
        <v>4</v>
      </c>
      <c r="J1049" t="str">
        <f>IF(Table1[[#This Row],[Resolution_Date]]="NA","Unresolved","Resolved")</f>
        <v>Resolved</v>
      </c>
      <c r="K1049">
        <f>IF(Table1[[#This Row],[Resolution_Date]]="NA"," ",Table1[[#This Row],[Resolution_Date]]-Table1[[#This Row],[Complaint_Date]])</f>
        <v>0</v>
      </c>
      <c r="L1049" t="str">
        <f>TEXT(Table1[[#This Row],[Complaint_Date]],"MMM")</f>
        <v>Jun</v>
      </c>
      <c r="M1049" t="str">
        <f>IF(Table1[[#This Row],[Resolution_Time_Hours]]&lt;=24,"Fast",IF(Table1[[#This Row],[Resolution_Time_Hours]]&lt;=72,"Medium","Slow"))</f>
        <v>Fast</v>
      </c>
    </row>
    <row r="1050" spans="1:13" x14ac:dyDescent="0.3">
      <c r="A1050" t="s">
        <v>2478</v>
      </c>
      <c r="B1050" t="s">
        <v>2479</v>
      </c>
      <c r="C1050" t="s">
        <v>110</v>
      </c>
      <c r="D1050" t="s">
        <v>27</v>
      </c>
      <c r="E1050" s="2" t="s">
        <v>143</v>
      </c>
      <c r="F1050">
        <v>17</v>
      </c>
      <c r="G1050" t="s">
        <v>20</v>
      </c>
      <c r="H1050" s="2" t="s">
        <v>143</v>
      </c>
      <c r="I1050">
        <v>3</v>
      </c>
      <c r="J1050" t="str">
        <f>IF(Table1[[#This Row],[Resolution_Date]]="NA","Unresolved","Resolved")</f>
        <v>Resolved</v>
      </c>
      <c r="K1050">
        <f>IF(Table1[[#This Row],[Resolution_Date]]="NA"," ",Table1[[#This Row],[Resolution_Date]]-Table1[[#This Row],[Complaint_Date]])</f>
        <v>0</v>
      </c>
      <c r="L1050" t="str">
        <f>TEXT(Table1[[#This Row],[Complaint_Date]],"MMM")</f>
        <v>Jan</v>
      </c>
      <c r="M1050" t="str">
        <f>IF(Table1[[#This Row],[Resolution_Time_Hours]]&lt;=24,"Fast",IF(Table1[[#This Row],[Resolution_Time_Hours]]&lt;=72,"Medium","Slow"))</f>
        <v>Fast</v>
      </c>
    </row>
    <row r="1051" spans="1:13" x14ac:dyDescent="0.3">
      <c r="A1051" t="s">
        <v>2480</v>
      </c>
      <c r="B1051" t="s">
        <v>2481</v>
      </c>
      <c r="C1051" t="s">
        <v>53</v>
      </c>
      <c r="D1051" t="s">
        <v>18</v>
      </c>
      <c r="E1051" s="2" t="s">
        <v>103</v>
      </c>
      <c r="F1051">
        <v>5</v>
      </c>
      <c r="G1051" t="s">
        <v>20</v>
      </c>
      <c r="H1051" s="2" t="s">
        <v>103</v>
      </c>
      <c r="I1051">
        <v>5</v>
      </c>
      <c r="J1051" t="str">
        <f>IF(Table1[[#This Row],[Resolution_Date]]="NA","Unresolved","Resolved")</f>
        <v>Resolved</v>
      </c>
      <c r="K1051">
        <f>IF(Table1[[#This Row],[Resolution_Date]]="NA"," ",Table1[[#This Row],[Resolution_Date]]-Table1[[#This Row],[Complaint_Date]])</f>
        <v>0</v>
      </c>
      <c r="L1051" t="str">
        <f>TEXT(Table1[[#This Row],[Complaint_Date]],"MMM")</f>
        <v>Apr</v>
      </c>
      <c r="M1051" t="str">
        <f>IF(Table1[[#This Row],[Resolution_Time_Hours]]&lt;=24,"Fast",IF(Table1[[#This Row],[Resolution_Time_Hours]]&lt;=72,"Medium","Slow"))</f>
        <v>Fast</v>
      </c>
    </row>
    <row r="1052" spans="1:13" x14ac:dyDescent="0.3">
      <c r="A1052" t="s">
        <v>2482</v>
      </c>
      <c r="B1052" t="s">
        <v>2483</v>
      </c>
      <c r="C1052" t="s">
        <v>70</v>
      </c>
      <c r="D1052" t="s">
        <v>27</v>
      </c>
      <c r="E1052" s="2" t="s">
        <v>1667</v>
      </c>
      <c r="F1052">
        <v>20</v>
      </c>
      <c r="G1052" t="s">
        <v>14</v>
      </c>
      <c r="H1052" s="2" t="s">
        <v>2820</v>
      </c>
      <c r="J1052" t="str">
        <f>IF(Table1[[#This Row],[Resolution_Date]]="NA","Unresolved","Resolved")</f>
        <v>Unresolved</v>
      </c>
      <c r="K1052" t="str">
        <f>IF(Table1[[#This Row],[Resolution_Date]]="NA"," ",Table1[[#This Row],[Resolution_Date]]-Table1[[#This Row],[Complaint_Date]])</f>
        <v xml:space="preserve"> </v>
      </c>
      <c r="L1052" t="str">
        <f>TEXT(Table1[[#This Row],[Complaint_Date]],"MMM")</f>
        <v>Jul</v>
      </c>
      <c r="M1052" t="str">
        <f>IF(Table1[[#This Row],[Resolution_Time_Hours]]&lt;=24,"Fast",IF(Table1[[#This Row],[Resolution_Time_Hours]]&lt;=72,"Medium","Slow"))</f>
        <v>Fast</v>
      </c>
    </row>
    <row r="1053" spans="1:13" x14ac:dyDescent="0.3">
      <c r="A1053" t="s">
        <v>2484</v>
      </c>
      <c r="B1053" t="s">
        <v>2485</v>
      </c>
      <c r="C1053" t="s">
        <v>11</v>
      </c>
      <c r="D1053" t="s">
        <v>18</v>
      </c>
      <c r="E1053" s="2" t="s">
        <v>1975</v>
      </c>
      <c r="F1053">
        <v>17</v>
      </c>
      <c r="G1053" t="s">
        <v>20</v>
      </c>
      <c r="H1053" s="2" t="s">
        <v>1975</v>
      </c>
      <c r="I1053">
        <v>3</v>
      </c>
      <c r="J1053" t="str">
        <f>IF(Table1[[#This Row],[Resolution_Date]]="NA","Unresolved","Resolved")</f>
        <v>Resolved</v>
      </c>
      <c r="K1053">
        <f>IF(Table1[[#This Row],[Resolution_Date]]="NA"," ",Table1[[#This Row],[Resolution_Date]]-Table1[[#This Row],[Complaint_Date]])</f>
        <v>0</v>
      </c>
      <c r="L1053" t="str">
        <f>TEXT(Table1[[#This Row],[Complaint_Date]],"MMM")</f>
        <v>Apr</v>
      </c>
      <c r="M1053" t="str">
        <f>IF(Table1[[#This Row],[Resolution_Time_Hours]]&lt;=24,"Fast",IF(Table1[[#This Row],[Resolution_Time_Hours]]&lt;=72,"Medium","Slow"))</f>
        <v>Fast</v>
      </c>
    </row>
    <row r="1054" spans="1:13" x14ac:dyDescent="0.3">
      <c r="A1054" t="s">
        <v>2486</v>
      </c>
      <c r="B1054" t="s">
        <v>2487</v>
      </c>
      <c r="C1054" t="s">
        <v>48</v>
      </c>
      <c r="D1054" t="s">
        <v>95</v>
      </c>
      <c r="E1054" s="2" t="s">
        <v>883</v>
      </c>
      <c r="F1054">
        <v>27</v>
      </c>
      <c r="G1054" t="s">
        <v>40</v>
      </c>
      <c r="H1054" s="2" t="s">
        <v>2820</v>
      </c>
      <c r="J1054" t="str">
        <f>IF(Table1[[#This Row],[Resolution_Date]]="NA","Unresolved","Resolved")</f>
        <v>Unresolved</v>
      </c>
      <c r="K1054" t="str">
        <f>IF(Table1[[#This Row],[Resolution_Date]]="NA"," ",Table1[[#This Row],[Resolution_Date]]-Table1[[#This Row],[Complaint_Date]])</f>
        <v xml:space="preserve"> </v>
      </c>
      <c r="L1054" t="str">
        <f>TEXT(Table1[[#This Row],[Complaint_Date]],"MMM")</f>
        <v>Jun</v>
      </c>
      <c r="M1054" t="str">
        <f>IF(Table1[[#This Row],[Resolution_Time_Hours]]&lt;=24,"Fast",IF(Table1[[#This Row],[Resolution_Time_Hours]]&lt;=72,"Medium","Slow"))</f>
        <v>Medium</v>
      </c>
    </row>
    <row r="1055" spans="1:13" x14ac:dyDescent="0.3">
      <c r="A1055" t="s">
        <v>2488</v>
      </c>
      <c r="B1055" t="s">
        <v>2489</v>
      </c>
      <c r="C1055" t="s">
        <v>11</v>
      </c>
      <c r="D1055" t="s">
        <v>38</v>
      </c>
      <c r="E1055" s="2" t="s">
        <v>96</v>
      </c>
      <c r="F1055">
        <v>32</v>
      </c>
      <c r="G1055" t="s">
        <v>14</v>
      </c>
      <c r="H1055" s="2" t="s">
        <v>2820</v>
      </c>
      <c r="J1055" t="str">
        <f>IF(Table1[[#This Row],[Resolution_Date]]="NA","Unresolved","Resolved")</f>
        <v>Unresolved</v>
      </c>
      <c r="K1055" t="str">
        <f>IF(Table1[[#This Row],[Resolution_Date]]="NA"," ",Table1[[#This Row],[Resolution_Date]]-Table1[[#This Row],[Complaint_Date]])</f>
        <v xml:space="preserve"> </v>
      </c>
      <c r="L1055" t="str">
        <f>TEXT(Table1[[#This Row],[Complaint_Date]],"MMM")</f>
        <v>Feb</v>
      </c>
      <c r="M1055" t="str">
        <f>IF(Table1[[#This Row],[Resolution_Time_Hours]]&lt;=24,"Fast",IF(Table1[[#This Row],[Resolution_Time_Hours]]&lt;=72,"Medium","Slow"))</f>
        <v>Medium</v>
      </c>
    </row>
    <row r="1056" spans="1:13" x14ac:dyDescent="0.3">
      <c r="A1056" t="s">
        <v>2490</v>
      </c>
      <c r="B1056" t="s">
        <v>2491</v>
      </c>
      <c r="C1056" t="s">
        <v>110</v>
      </c>
      <c r="D1056" t="s">
        <v>18</v>
      </c>
      <c r="E1056" s="2" t="s">
        <v>133</v>
      </c>
      <c r="F1056">
        <v>5</v>
      </c>
      <c r="G1056" t="s">
        <v>20</v>
      </c>
      <c r="H1056" s="2" t="s">
        <v>133</v>
      </c>
      <c r="I1056">
        <v>5</v>
      </c>
      <c r="J1056" t="str">
        <f>IF(Table1[[#This Row],[Resolution_Date]]="NA","Unresolved","Resolved")</f>
        <v>Resolved</v>
      </c>
      <c r="K1056">
        <f>IF(Table1[[#This Row],[Resolution_Date]]="NA"," ",Table1[[#This Row],[Resolution_Date]]-Table1[[#This Row],[Complaint_Date]])</f>
        <v>0</v>
      </c>
      <c r="L1056" t="str">
        <f>TEXT(Table1[[#This Row],[Complaint_Date]],"MMM")</f>
        <v>Jun</v>
      </c>
      <c r="M1056" t="str">
        <f>IF(Table1[[#This Row],[Resolution_Time_Hours]]&lt;=24,"Fast",IF(Table1[[#This Row],[Resolution_Time_Hours]]&lt;=72,"Medium","Slow"))</f>
        <v>Fast</v>
      </c>
    </row>
    <row r="1057" spans="1:13" x14ac:dyDescent="0.3">
      <c r="A1057" t="s">
        <v>2492</v>
      </c>
      <c r="B1057" t="s">
        <v>2493</v>
      </c>
      <c r="C1057" t="s">
        <v>11</v>
      </c>
      <c r="D1057" t="s">
        <v>18</v>
      </c>
      <c r="E1057" s="2" t="s">
        <v>308</v>
      </c>
      <c r="F1057">
        <v>32</v>
      </c>
      <c r="G1057" t="s">
        <v>14</v>
      </c>
      <c r="H1057" s="2" t="s">
        <v>2820</v>
      </c>
      <c r="J1057" t="str">
        <f>IF(Table1[[#This Row],[Resolution_Date]]="NA","Unresolved","Resolved")</f>
        <v>Unresolved</v>
      </c>
      <c r="K1057" t="str">
        <f>IF(Table1[[#This Row],[Resolution_Date]]="NA"," ",Table1[[#This Row],[Resolution_Date]]-Table1[[#This Row],[Complaint_Date]])</f>
        <v xml:space="preserve"> </v>
      </c>
      <c r="L1057" t="str">
        <f>TEXT(Table1[[#This Row],[Complaint_Date]],"MMM")</f>
        <v>Jun</v>
      </c>
      <c r="M1057" t="str">
        <f>IF(Table1[[#This Row],[Resolution_Time_Hours]]&lt;=24,"Fast",IF(Table1[[#This Row],[Resolution_Time_Hours]]&lt;=72,"Medium","Slow"))</f>
        <v>Medium</v>
      </c>
    </row>
    <row r="1058" spans="1:13" x14ac:dyDescent="0.3">
      <c r="A1058" t="s">
        <v>2494</v>
      </c>
      <c r="B1058" t="s">
        <v>2495</v>
      </c>
      <c r="C1058" t="s">
        <v>70</v>
      </c>
      <c r="D1058" t="s">
        <v>38</v>
      </c>
      <c r="E1058" s="2" t="s">
        <v>1428</v>
      </c>
      <c r="F1058">
        <v>14</v>
      </c>
      <c r="G1058" t="s">
        <v>20</v>
      </c>
      <c r="H1058" s="2" t="s">
        <v>1428</v>
      </c>
      <c r="I1058">
        <v>3</v>
      </c>
      <c r="J1058" t="str">
        <f>IF(Table1[[#This Row],[Resolution_Date]]="NA","Unresolved","Resolved")</f>
        <v>Resolved</v>
      </c>
      <c r="K1058">
        <f>IF(Table1[[#This Row],[Resolution_Date]]="NA"," ",Table1[[#This Row],[Resolution_Date]]-Table1[[#This Row],[Complaint_Date]])</f>
        <v>0</v>
      </c>
      <c r="L1058" t="str">
        <f>TEXT(Table1[[#This Row],[Complaint_Date]],"MMM")</f>
        <v>Jun</v>
      </c>
      <c r="M1058" t="str">
        <f>IF(Table1[[#This Row],[Resolution_Time_Hours]]&lt;=24,"Fast",IF(Table1[[#This Row],[Resolution_Time_Hours]]&lt;=72,"Medium","Slow"))</f>
        <v>Fast</v>
      </c>
    </row>
    <row r="1059" spans="1:13" x14ac:dyDescent="0.3">
      <c r="A1059" t="s">
        <v>2496</v>
      </c>
      <c r="B1059" t="s">
        <v>2497</v>
      </c>
      <c r="C1059" t="s">
        <v>110</v>
      </c>
      <c r="D1059" t="s">
        <v>27</v>
      </c>
      <c r="E1059" s="2" t="s">
        <v>339</v>
      </c>
      <c r="F1059">
        <v>12</v>
      </c>
      <c r="G1059" t="s">
        <v>20</v>
      </c>
      <c r="H1059" s="2" t="s">
        <v>339</v>
      </c>
      <c r="I1059">
        <v>4</v>
      </c>
      <c r="J1059" t="str">
        <f>IF(Table1[[#This Row],[Resolution_Date]]="NA","Unresolved","Resolved")</f>
        <v>Resolved</v>
      </c>
      <c r="K1059">
        <f>IF(Table1[[#This Row],[Resolution_Date]]="NA"," ",Table1[[#This Row],[Resolution_Date]]-Table1[[#This Row],[Complaint_Date]])</f>
        <v>0</v>
      </c>
      <c r="L1059" t="str">
        <f>TEXT(Table1[[#This Row],[Complaint_Date]],"MMM")</f>
        <v>Apr</v>
      </c>
      <c r="M1059" t="str">
        <f>IF(Table1[[#This Row],[Resolution_Time_Hours]]&lt;=24,"Fast",IF(Table1[[#This Row],[Resolution_Time_Hours]]&lt;=72,"Medium","Slow"))</f>
        <v>Fast</v>
      </c>
    </row>
    <row r="1060" spans="1:13" x14ac:dyDescent="0.3">
      <c r="A1060" t="s">
        <v>2498</v>
      </c>
      <c r="B1060" t="s">
        <v>2499</v>
      </c>
      <c r="C1060" t="s">
        <v>17</v>
      </c>
      <c r="D1060" t="s">
        <v>18</v>
      </c>
      <c r="E1060" s="2" t="s">
        <v>1208</v>
      </c>
      <c r="F1060">
        <v>8</v>
      </c>
      <c r="G1060" t="s">
        <v>20</v>
      </c>
      <c r="H1060" s="2" t="s">
        <v>1208</v>
      </c>
      <c r="I1060">
        <v>4</v>
      </c>
      <c r="J1060" t="str">
        <f>IF(Table1[[#This Row],[Resolution_Date]]="NA","Unresolved","Resolved")</f>
        <v>Resolved</v>
      </c>
      <c r="K1060">
        <f>IF(Table1[[#This Row],[Resolution_Date]]="NA"," ",Table1[[#This Row],[Resolution_Date]]-Table1[[#This Row],[Complaint_Date]])</f>
        <v>0</v>
      </c>
      <c r="L1060" t="str">
        <f>TEXT(Table1[[#This Row],[Complaint_Date]],"MMM")</f>
        <v>Jul</v>
      </c>
      <c r="M1060" t="str">
        <f>IF(Table1[[#This Row],[Resolution_Time_Hours]]&lt;=24,"Fast",IF(Table1[[#This Row],[Resolution_Time_Hours]]&lt;=72,"Medium","Slow"))</f>
        <v>Fast</v>
      </c>
    </row>
    <row r="1061" spans="1:13" x14ac:dyDescent="0.3">
      <c r="A1061" t="s">
        <v>2500</v>
      </c>
      <c r="B1061" t="s">
        <v>2501</v>
      </c>
      <c r="C1061" t="s">
        <v>43</v>
      </c>
      <c r="D1061" t="s">
        <v>18</v>
      </c>
      <c r="E1061" s="2" t="s">
        <v>1122</v>
      </c>
      <c r="F1061">
        <v>29</v>
      </c>
      <c r="G1061" t="s">
        <v>20</v>
      </c>
      <c r="H1061" s="2" t="s">
        <v>136</v>
      </c>
      <c r="I1061">
        <v>2</v>
      </c>
      <c r="J1061" t="str">
        <f>IF(Table1[[#This Row],[Resolution_Date]]="NA","Unresolved","Resolved")</f>
        <v>Resolved</v>
      </c>
      <c r="K1061">
        <f>IF(Table1[[#This Row],[Resolution_Date]]="NA"," ",Table1[[#This Row],[Resolution_Date]]-Table1[[#This Row],[Complaint_Date]])</f>
        <v>1</v>
      </c>
      <c r="L1061" t="str">
        <f>TEXT(Table1[[#This Row],[Complaint_Date]],"MMM")</f>
        <v>Mar</v>
      </c>
      <c r="M1061" t="str">
        <f>IF(Table1[[#This Row],[Resolution_Time_Hours]]&lt;=24,"Fast",IF(Table1[[#This Row],[Resolution_Time_Hours]]&lt;=72,"Medium","Slow"))</f>
        <v>Medium</v>
      </c>
    </row>
    <row r="1062" spans="1:13" x14ac:dyDescent="0.3">
      <c r="A1062" t="s">
        <v>2502</v>
      </c>
      <c r="B1062" t="s">
        <v>2503</v>
      </c>
      <c r="C1062" t="s">
        <v>17</v>
      </c>
      <c r="D1062" t="s">
        <v>12</v>
      </c>
      <c r="E1062" s="2" t="s">
        <v>214</v>
      </c>
      <c r="F1062">
        <v>13</v>
      </c>
      <c r="G1062" t="s">
        <v>20</v>
      </c>
      <c r="H1062" s="2" t="s">
        <v>214</v>
      </c>
      <c r="I1062">
        <v>3</v>
      </c>
      <c r="J1062" t="str">
        <f>IF(Table1[[#This Row],[Resolution_Date]]="NA","Unresolved","Resolved")</f>
        <v>Resolved</v>
      </c>
      <c r="K1062">
        <f>IF(Table1[[#This Row],[Resolution_Date]]="NA"," ",Table1[[#This Row],[Resolution_Date]]-Table1[[#This Row],[Complaint_Date]])</f>
        <v>0</v>
      </c>
      <c r="L1062" t="str">
        <f>TEXT(Table1[[#This Row],[Complaint_Date]],"MMM")</f>
        <v>May</v>
      </c>
      <c r="M1062" t="str">
        <f>IF(Table1[[#This Row],[Resolution_Time_Hours]]&lt;=24,"Fast",IF(Table1[[#This Row],[Resolution_Time_Hours]]&lt;=72,"Medium","Slow"))</f>
        <v>Fast</v>
      </c>
    </row>
    <row r="1063" spans="1:13" x14ac:dyDescent="0.3">
      <c r="A1063" t="s">
        <v>2504</v>
      </c>
      <c r="B1063" t="s">
        <v>2505</v>
      </c>
      <c r="C1063" t="s">
        <v>110</v>
      </c>
      <c r="D1063" t="s">
        <v>95</v>
      </c>
      <c r="E1063" s="2" t="s">
        <v>806</v>
      </c>
      <c r="F1063">
        <v>9</v>
      </c>
      <c r="G1063" t="s">
        <v>20</v>
      </c>
      <c r="H1063" s="2" t="s">
        <v>806</v>
      </c>
      <c r="I1063">
        <v>4</v>
      </c>
      <c r="J1063" t="str">
        <f>IF(Table1[[#This Row],[Resolution_Date]]="NA","Unresolved","Resolved")</f>
        <v>Resolved</v>
      </c>
      <c r="K1063">
        <f>IF(Table1[[#This Row],[Resolution_Date]]="NA"," ",Table1[[#This Row],[Resolution_Date]]-Table1[[#This Row],[Complaint_Date]])</f>
        <v>0</v>
      </c>
      <c r="L1063" t="str">
        <f>TEXT(Table1[[#This Row],[Complaint_Date]],"MMM")</f>
        <v>Jul</v>
      </c>
      <c r="M1063" t="str">
        <f>IF(Table1[[#This Row],[Resolution_Time_Hours]]&lt;=24,"Fast",IF(Table1[[#This Row],[Resolution_Time_Hours]]&lt;=72,"Medium","Slow"))</f>
        <v>Fast</v>
      </c>
    </row>
    <row r="1064" spans="1:13" x14ac:dyDescent="0.3">
      <c r="A1064" t="s">
        <v>2506</v>
      </c>
      <c r="B1064" t="s">
        <v>2507</v>
      </c>
      <c r="C1064" t="s">
        <v>17</v>
      </c>
      <c r="D1064" t="s">
        <v>18</v>
      </c>
      <c r="E1064" s="2" t="s">
        <v>2508</v>
      </c>
      <c r="F1064">
        <v>8</v>
      </c>
      <c r="G1064" t="s">
        <v>20</v>
      </c>
      <c r="H1064" s="2" t="s">
        <v>2508</v>
      </c>
      <c r="I1064">
        <v>4</v>
      </c>
      <c r="J1064" t="str">
        <f>IF(Table1[[#This Row],[Resolution_Date]]="NA","Unresolved","Resolved")</f>
        <v>Resolved</v>
      </c>
      <c r="K1064">
        <f>IF(Table1[[#This Row],[Resolution_Date]]="NA"," ",Table1[[#This Row],[Resolution_Date]]-Table1[[#This Row],[Complaint_Date]])</f>
        <v>0</v>
      </c>
      <c r="L1064" t="str">
        <f>TEXT(Table1[[#This Row],[Complaint_Date]],"MMM")</f>
        <v>Sep</v>
      </c>
      <c r="M1064" t="str">
        <f>IF(Table1[[#This Row],[Resolution_Time_Hours]]&lt;=24,"Fast",IF(Table1[[#This Row],[Resolution_Time_Hours]]&lt;=72,"Medium","Slow"))</f>
        <v>Fast</v>
      </c>
    </row>
    <row r="1065" spans="1:13" x14ac:dyDescent="0.3">
      <c r="A1065" t="s">
        <v>2509</v>
      </c>
      <c r="B1065" t="s">
        <v>2510</v>
      </c>
      <c r="C1065" t="s">
        <v>34</v>
      </c>
      <c r="D1065" t="s">
        <v>18</v>
      </c>
      <c r="E1065" s="2" t="s">
        <v>373</v>
      </c>
      <c r="F1065">
        <v>88</v>
      </c>
      <c r="G1065" t="s">
        <v>20</v>
      </c>
      <c r="H1065" s="2" t="s">
        <v>326</v>
      </c>
      <c r="I1065">
        <v>5</v>
      </c>
      <c r="J1065" t="str">
        <f>IF(Table1[[#This Row],[Resolution_Date]]="NA","Unresolved","Resolved")</f>
        <v>Resolved</v>
      </c>
      <c r="K1065">
        <f>IF(Table1[[#This Row],[Resolution_Date]]="NA"," ",Table1[[#This Row],[Resolution_Date]]-Table1[[#This Row],[Complaint_Date]])</f>
        <v>3</v>
      </c>
      <c r="L1065" t="str">
        <f>TEXT(Table1[[#This Row],[Complaint_Date]],"MMM")</f>
        <v>Sep</v>
      </c>
      <c r="M1065" t="str">
        <f>IF(Table1[[#This Row],[Resolution_Time_Hours]]&lt;=24,"Fast",IF(Table1[[#This Row],[Resolution_Time_Hours]]&lt;=72,"Medium","Slow"))</f>
        <v>Slow</v>
      </c>
    </row>
    <row r="1066" spans="1:13" x14ac:dyDescent="0.3">
      <c r="A1066" t="s">
        <v>2511</v>
      </c>
      <c r="B1066" t="s">
        <v>2512</v>
      </c>
      <c r="C1066" t="s">
        <v>17</v>
      </c>
      <c r="D1066" t="s">
        <v>95</v>
      </c>
      <c r="E1066" s="2" t="s">
        <v>293</v>
      </c>
      <c r="F1066">
        <v>33</v>
      </c>
      <c r="G1066" t="s">
        <v>20</v>
      </c>
      <c r="H1066" s="2" t="s">
        <v>437</v>
      </c>
      <c r="I1066">
        <v>5</v>
      </c>
      <c r="J1066" t="str">
        <f>IF(Table1[[#This Row],[Resolution_Date]]="NA","Unresolved","Resolved")</f>
        <v>Resolved</v>
      </c>
      <c r="K1066">
        <f>IF(Table1[[#This Row],[Resolution_Date]]="NA"," ",Table1[[#This Row],[Resolution_Date]]-Table1[[#This Row],[Complaint_Date]])</f>
        <v>1</v>
      </c>
      <c r="L1066" t="str">
        <f>TEXT(Table1[[#This Row],[Complaint_Date]],"MMM")</f>
        <v>Oct</v>
      </c>
      <c r="M1066" t="str">
        <f>IF(Table1[[#This Row],[Resolution_Time_Hours]]&lt;=24,"Fast",IF(Table1[[#This Row],[Resolution_Time_Hours]]&lt;=72,"Medium","Slow"))</f>
        <v>Medium</v>
      </c>
    </row>
    <row r="1067" spans="1:13" x14ac:dyDescent="0.3">
      <c r="A1067" t="s">
        <v>2513</v>
      </c>
      <c r="B1067" t="s">
        <v>2514</v>
      </c>
      <c r="C1067" t="s">
        <v>34</v>
      </c>
      <c r="D1067" t="s">
        <v>95</v>
      </c>
      <c r="E1067" s="2" t="s">
        <v>233</v>
      </c>
      <c r="F1067">
        <v>35</v>
      </c>
      <c r="G1067" t="s">
        <v>20</v>
      </c>
      <c r="H1067" s="2" t="s">
        <v>1284</v>
      </c>
      <c r="I1067">
        <v>2</v>
      </c>
      <c r="J1067" t="str">
        <f>IF(Table1[[#This Row],[Resolution_Date]]="NA","Unresolved","Resolved")</f>
        <v>Resolved</v>
      </c>
      <c r="K1067">
        <f>IF(Table1[[#This Row],[Resolution_Date]]="NA"," ",Table1[[#This Row],[Resolution_Date]]-Table1[[#This Row],[Complaint_Date]])</f>
        <v>1</v>
      </c>
      <c r="L1067" t="str">
        <f>TEXT(Table1[[#This Row],[Complaint_Date]],"MMM")</f>
        <v>Apr</v>
      </c>
      <c r="M1067" t="str">
        <f>IF(Table1[[#This Row],[Resolution_Time_Hours]]&lt;=24,"Fast",IF(Table1[[#This Row],[Resolution_Time_Hours]]&lt;=72,"Medium","Slow"))</f>
        <v>Medium</v>
      </c>
    </row>
    <row r="1068" spans="1:13" x14ac:dyDescent="0.3">
      <c r="A1068" t="s">
        <v>2515</v>
      </c>
      <c r="B1068" t="s">
        <v>2516</v>
      </c>
      <c r="C1068" t="s">
        <v>43</v>
      </c>
      <c r="D1068" t="s">
        <v>18</v>
      </c>
      <c r="E1068" s="2" t="s">
        <v>100</v>
      </c>
      <c r="F1068">
        <v>59</v>
      </c>
      <c r="G1068" t="s">
        <v>20</v>
      </c>
      <c r="H1068" s="2" t="s">
        <v>690</v>
      </c>
      <c r="I1068">
        <v>1</v>
      </c>
      <c r="J1068" t="str">
        <f>IF(Table1[[#This Row],[Resolution_Date]]="NA","Unresolved","Resolved")</f>
        <v>Resolved</v>
      </c>
      <c r="K1068">
        <f>IF(Table1[[#This Row],[Resolution_Date]]="NA"," ",Table1[[#This Row],[Resolution_Date]]-Table1[[#This Row],[Complaint_Date]])</f>
        <v>2</v>
      </c>
      <c r="L1068" t="str">
        <f>TEXT(Table1[[#This Row],[Complaint_Date]],"MMM")</f>
        <v>Jan</v>
      </c>
      <c r="M1068" t="str">
        <f>IF(Table1[[#This Row],[Resolution_Time_Hours]]&lt;=24,"Fast",IF(Table1[[#This Row],[Resolution_Time_Hours]]&lt;=72,"Medium","Slow"))</f>
        <v>Medium</v>
      </c>
    </row>
    <row r="1069" spans="1:13" x14ac:dyDescent="0.3">
      <c r="A1069" t="s">
        <v>2517</v>
      </c>
      <c r="B1069" t="s">
        <v>2518</v>
      </c>
      <c r="C1069" t="s">
        <v>17</v>
      </c>
      <c r="D1069" t="s">
        <v>27</v>
      </c>
      <c r="E1069" s="2" t="s">
        <v>590</v>
      </c>
      <c r="F1069">
        <v>32</v>
      </c>
      <c r="G1069" t="s">
        <v>14</v>
      </c>
      <c r="H1069" s="2" t="s">
        <v>2820</v>
      </c>
      <c r="J1069" t="str">
        <f>IF(Table1[[#This Row],[Resolution_Date]]="NA","Unresolved","Resolved")</f>
        <v>Unresolved</v>
      </c>
      <c r="K1069" t="str">
        <f>IF(Table1[[#This Row],[Resolution_Date]]="NA"," ",Table1[[#This Row],[Resolution_Date]]-Table1[[#This Row],[Complaint_Date]])</f>
        <v xml:space="preserve"> </v>
      </c>
      <c r="L1069" t="str">
        <f>TEXT(Table1[[#This Row],[Complaint_Date]],"MMM")</f>
        <v>Aug</v>
      </c>
      <c r="M1069" t="str">
        <f>IF(Table1[[#This Row],[Resolution_Time_Hours]]&lt;=24,"Fast",IF(Table1[[#This Row],[Resolution_Time_Hours]]&lt;=72,"Medium","Slow"))</f>
        <v>Medium</v>
      </c>
    </row>
    <row r="1070" spans="1:13" x14ac:dyDescent="0.3">
      <c r="A1070" t="s">
        <v>2519</v>
      </c>
      <c r="B1070" t="s">
        <v>2520</v>
      </c>
      <c r="C1070" t="s">
        <v>11</v>
      </c>
      <c r="D1070" t="s">
        <v>18</v>
      </c>
      <c r="E1070" s="2" t="s">
        <v>687</v>
      </c>
      <c r="F1070">
        <v>38</v>
      </c>
      <c r="G1070" t="s">
        <v>20</v>
      </c>
      <c r="H1070" s="2" t="s">
        <v>2521</v>
      </c>
      <c r="I1070">
        <v>2</v>
      </c>
      <c r="J1070" t="str">
        <f>IF(Table1[[#This Row],[Resolution_Date]]="NA","Unresolved","Resolved")</f>
        <v>Resolved</v>
      </c>
      <c r="K1070">
        <f>IF(Table1[[#This Row],[Resolution_Date]]="NA"," ",Table1[[#This Row],[Resolution_Date]]-Table1[[#This Row],[Complaint_Date]])</f>
        <v>1</v>
      </c>
      <c r="L1070" t="str">
        <f>TEXT(Table1[[#This Row],[Complaint_Date]],"MMM")</f>
        <v>Nov</v>
      </c>
      <c r="M1070" t="str">
        <f>IF(Table1[[#This Row],[Resolution_Time_Hours]]&lt;=24,"Fast",IF(Table1[[#This Row],[Resolution_Time_Hours]]&lt;=72,"Medium","Slow"))</f>
        <v>Medium</v>
      </c>
    </row>
    <row r="1071" spans="1:13" x14ac:dyDescent="0.3">
      <c r="A1071" t="s">
        <v>2522</v>
      </c>
      <c r="B1071" t="s">
        <v>2523</v>
      </c>
      <c r="C1071" t="s">
        <v>43</v>
      </c>
      <c r="D1071" t="s">
        <v>95</v>
      </c>
      <c r="E1071" s="2" t="s">
        <v>546</v>
      </c>
      <c r="F1071">
        <v>48</v>
      </c>
      <c r="G1071" t="s">
        <v>20</v>
      </c>
      <c r="H1071" s="2" t="s">
        <v>1328</v>
      </c>
      <c r="I1071">
        <v>5</v>
      </c>
      <c r="J1071" t="str">
        <f>IF(Table1[[#This Row],[Resolution_Date]]="NA","Unresolved","Resolved")</f>
        <v>Resolved</v>
      </c>
      <c r="K1071">
        <f>IF(Table1[[#This Row],[Resolution_Date]]="NA"," ",Table1[[#This Row],[Resolution_Date]]-Table1[[#This Row],[Complaint_Date]])</f>
        <v>2</v>
      </c>
      <c r="L1071" t="str">
        <f>TEXT(Table1[[#This Row],[Complaint_Date]],"MMM")</f>
        <v>Jan</v>
      </c>
      <c r="M1071" t="str">
        <f>IF(Table1[[#This Row],[Resolution_Time_Hours]]&lt;=24,"Fast",IF(Table1[[#This Row],[Resolution_Time_Hours]]&lt;=72,"Medium","Slow"))</f>
        <v>Medium</v>
      </c>
    </row>
    <row r="1072" spans="1:13" x14ac:dyDescent="0.3">
      <c r="A1072" t="s">
        <v>2524</v>
      </c>
      <c r="B1072" t="s">
        <v>2525</v>
      </c>
      <c r="C1072" t="s">
        <v>70</v>
      </c>
      <c r="D1072" t="s">
        <v>27</v>
      </c>
      <c r="E1072" s="2" t="s">
        <v>143</v>
      </c>
      <c r="F1072">
        <v>12</v>
      </c>
      <c r="G1072" t="s">
        <v>20</v>
      </c>
      <c r="H1072" s="2" t="s">
        <v>143</v>
      </c>
      <c r="I1072">
        <v>4</v>
      </c>
      <c r="J1072" t="str">
        <f>IF(Table1[[#This Row],[Resolution_Date]]="NA","Unresolved","Resolved")</f>
        <v>Resolved</v>
      </c>
      <c r="K1072">
        <f>IF(Table1[[#This Row],[Resolution_Date]]="NA"," ",Table1[[#This Row],[Resolution_Date]]-Table1[[#This Row],[Complaint_Date]])</f>
        <v>0</v>
      </c>
      <c r="L1072" t="str">
        <f>TEXT(Table1[[#This Row],[Complaint_Date]],"MMM")</f>
        <v>Jan</v>
      </c>
      <c r="M1072" t="str">
        <f>IF(Table1[[#This Row],[Resolution_Time_Hours]]&lt;=24,"Fast",IF(Table1[[#This Row],[Resolution_Time_Hours]]&lt;=72,"Medium","Slow"))</f>
        <v>Fast</v>
      </c>
    </row>
    <row r="1073" spans="1:13" x14ac:dyDescent="0.3">
      <c r="A1073" t="s">
        <v>2526</v>
      </c>
      <c r="B1073" t="s">
        <v>2527</v>
      </c>
      <c r="C1073" t="s">
        <v>17</v>
      </c>
      <c r="D1073" t="s">
        <v>38</v>
      </c>
      <c r="E1073" s="2" t="s">
        <v>1368</v>
      </c>
      <c r="F1073">
        <v>31</v>
      </c>
      <c r="G1073" t="s">
        <v>14</v>
      </c>
      <c r="H1073" s="2" t="s">
        <v>2820</v>
      </c>
      <c r="J1073" t="str">
        <f>IF(Table1[[#This Row],[Resolution_Date]]="NA","Unresolved","Resolved")</f>
        <v>Unresolved</v>
      </c>
      <c r="K1073" t="str">
        <f>IF(Table1[[#This Row],[Resolution_Date]]="NA"," ",Table1[[#This Row],[Resolution_Date]]-Table1[[#This Row],[Complaint_Date]])</f>
        <v xml:space="preserve"> </v>
      </c>
      <c r="L1073" t="str">
        <f>TEXT(Table1[[#This Row],[Complaint_Date]],"MMM")</f>
        <v>May</v>
      </c>
      <c r="M1073" t="str">
        <f>IF(Table1[[#This Row],[Resolution_Time_Hours]]&lt;=24,"Fast",IF(Table1[[#This Row],[Resolution_Time_Hours]]&lt;=72,"Medium","Slow"))</f>
        <v>Medium</v>
      </c>
    </row>
    <row r="1074" spans="1:13" x14ac:dyDescent="0.3">
      <c r="A1074" t="s">
        <v>2528</v>
      </c>
      <c r="B1074" t="s">
        <v>2529</v>
      </c>
      <c r="C1074" t="s">
        <v>48</v>
      </c>
      <c r="D1074" t="s">
        <v>38</v>
      </c>
      <c r="E1074" s="2" t="s">
        <v>220</v>
      </c>
      <c r="F1074">
        <v>42</v>
      </c>
      <c r="G1074" t="s">
        <v>14</v>
      </c>
      <c r="H1074" s="2" t="s">
        <v>2820</v>
      </c>
      <c r="J1074" t="str">
        <f>IF(Table1[[#This Row],[Resolution_Date]]="NA","Unresolved","Resolved")</f>
        <v>Unresolved</v>
      </c>
      <c r="K1074" t="str">
        <f>IF(Table1[[#This Row],[Resolution_Date]]="NA"," ",Table1[[#This Row],[Resolution_Date]]-Table1[[#This Row],[Complaint_Date]])</f>
        <v xml:space="preserve"> </v>
      </c>
      <c r="L1074" t="str">
        <f>TEXT(Table1[[#This Row],[Complaint_Date]],"MMM")</f>
        <v>Jul</v>
      </c>
      <c r="M1074" t="str">
        <f>IF(Table1[[#This Row],[Resolution_Time_Hours]]&lt;=24,"Fast",IF(Table1[[#This Row],[Resolution_Time_Hours]]&lt;=72,"Medium","Slow"))</f>
        <v>Medium</v>
      </c>
    </row>
    <row r="1075" spans="1:13" x14ac:dyDescent="0.3">
      <c r="A1075" t="s">
        <v>2530</v>
      </c>
      <c r="B1075" t="s">
        <v>2531</v>
      </c>
      <c r="C1075" t="s">
        <v>34</v>
      </c>
      <c r="D1075" t="s">
        <v>27</v>
      </c>
      <c r="E1075" s="2" t="s">
        <v>906</v>
      </c>
      <c r="F1075">
        <v>93</v>
      </c>
      <c r="G1075" t="s">
        <v>20</v>
      </c>
      <c r="H1075" s="2" t="s">
        <v>666</v>
      </c>
      <c r="I1075">
        <v>1</v>
      </c>
      <c r="J1075" t="str">
        <f>IF(Table1[[#This Row],[Resolution_Date]]="NA","Unresolved","Resolved")</f>
        <v>Resolved</v>
      </c>
      <c r="K1075">
        <f>IF(Table1[[#This Row],[Resolution_Date]]="NA"," ",Table1[[#This Row],[Resolution_Date]]-Table1[[#This Row],[Complaint_Date]])</f>
        <v>3</v>
      </c>
      <c r="L1075" t="str">
        <f>TEXT(Table1[[#This Row],[Complaint_Date]],"MMM")</f>
        <v>Jul</v>
      </c>
      <c r="M1075" t="str">
        <f>IF(Table1[[#This Row],[Resolution_Time_Hours]]&lt;=24,"Fast",IF(Table1[[#This Row],[Resolution_Time_Hours]]&lt;=72,"Medium","Slow"))</f>
        <v>Slow</v>
      </c>
    </row>
    <row r="1076" spans="1:13" x14ac:dyDescent="0.3">
      <c r="A1076" t="s">
        <v>2532</v>
      </c>
      <c r="B1076" t="s">
        <v>2533</v>
      </c>
      <c r="C1076" t="s">
        <v>43</v>
      </c>
      <c r="D1076" t="s">
        <v>27</v>
      </c>
      <c r="E1076" s="2" t="s">
        <v>640</v>
      </c>
      <c r="F1076">
        <v>53</v>
      </c>
      <c r="G1076" t="s">
        <v>40</v>
      </c>
      <c r="H1076" s="2" t="s">
        <v>2820</v>
      </c>
      <c r="J1076" t="str">
        <f>IF(Table1[[#This Row],[Resolution_Date]]="NA","Unresolved","Resolved")</f>
        <v>Unresolved</v>
      </c>
      <c r="K1076" t="str">
        <f>IF(Table1[[#This Row],[Resolution_Date]]="NA"," ",Table1[[#This Row],[Resolution_Date]]-Table1[[#This Row],[Complaint_Date]])</f>
        <v xml:space="preserve"> </v>
      </c>
      <c r="L1076" t="str">
        <f>TEXT(Table1[[#This Row],[Complaint_Date]],"MMM")</f>
        <v>Feb</v>
      </c>
      <c r="M1076" t="str">
        <f>IF(Table1[[#This Row],[Resolution_Time_Hours]]&lt;=24,"Fast",IF(Table1[[#This Row],[Resolution_Time_Hours]]&lt;=72,"Medium","Slow"))</f>
        <v>Medium</v>
      </c>
    </row>
    <row r="1077" spans="1:13" x14ac:dyDescent="0.3">
      <c r="A1077" t="s">
        <v>2534</v>
      </c>
      <c r="B1077" t="s">
        <v>2535</v>
      </c>
      <c r="C1077" t="s">
        <v>70</v>
      </c>
      <c r="D1077" t="s">
        <v>95</v>
      </c>
      <c r="E1077" s="2" t="s">
        <v>267</v>
      </c>
      <c r="F1077">
        <v>16</v>
      </c>
      <c r="G1077" t="s">
        <v>20</v>
      </c>
      <c r="H1077" s="2" t="s">
        <v>267</v>
      </c>
      <c r="I1077">
        <v>5</v>
      </c>
      <c r="J1077" t="str">
        <f>IF(Table1[[#This Row],[Resolution_Date]]="NA","Unresolved","Resolved")</f>
        <v>Resolved</v>
      </c>
      <c r="K1077">
        <f>IF(Table1[[#This Row],[Resolution_Date]]="NA"," ",Table1[[#This Row],[Resolution_Date]]-Table1[[#This Row],[Complaint_Date]])</f>
        <v>0</v>
      </c>
      <c r="L1077" t="str">
        <f>TEXT(Table1[[#This Row],[Complaint_Date]],"MMM")</f>
        <v>Jan</v>
      </c>
      <c r="M1077" t="str">
        <f>IF(Table1[[#This Row],[Resolution_Time_Hours]]&lt;=24,"Fast",IF(Table1[[#This Row],[Resolution_Time_Hours]]&lt;=72,"Medium","Slow"))</f>
        <v>Fast</v>
      </c>
    </row>
    <row r="1078" spans="1:13" x14ac:dyDescent="0.3">
      <c r="A1078" t="s">
        <v>2536</v>
      </c>
      <c r="B1078" t="s">
        <v>2537</v>
      </c>
      <c r="C1078" t="s">
        <v>70</v>
      </c>
      <c r="D1078" t="s">
        <v>27</v>
      </c>
      <c r="E1078" s="2" t="s">
        <v>643</v>
      </c>
      <c r="F1078">
        <v>4</v>
      </c>
      <c r="G1078" t="s">
        <v>20</v>
      </c>
      <c r="H1078" s="2" t="s">
        <v>643</v>
      </c>
      <c r="I1078">
        <v>5</v>
      </c>
      <c r="J1078" t="str">
        <f>IF(Table1[[#This Row],[Resolution_Date]]="NA","Unresolved","Resolved")</f>
        <v>Resolved</v>
      </c>
      <c r="K1078">
        <f>IF(Table1[[#This Row],[Resolution_Date]]="NA"," ",Table1[[#This Row],[Resolution_Date]]-Table1[[#This Row],[Complaint_Date]])</f>
        <v>0</v>
      </c>
      <c r="L1078" t="str">
        <f>TEXT(Table1[[#This Row],[Complaint_Date]],"MMM")</f>
        <v>Sep</v>
      </c>
      <c r="M1078" t="str">
        <f>IF(Table1[[#This Row],[Resolution_Time_Hours]]&lt;=24,"Fast",IF(Table1[[#This Row],[Resolution_Time_Hours]]&lt;=72,"Medium","Slow"))</f>
        <v>Fast</v>
      </c>
    </row>
    <row r="1079" spans="1:13" x14ac:dyDescent="0.3">
      <c r="A1079" t="s">
        <v>2538</v>
      </c>
      <c r="B1079" t="s">
        <v>2539</v>
      </c>
      <c r="C1079" t="s">
        <v>110</v>
      </c>
      <c r="D1079" t="s">
        <v>38</v>
      </c>
      <c r="E1079" s="2" t="s">
        <v>2000</v>
      </c>
      <c r="F1079">
        <v>24</v>
      </c>
      <c r="G1079" t="s">
        <v>40</v>
      </c>
      <c r="H1079" s="2" t="s">
        <v>2820</v>
      </c>
      <c r="J1079" t="str">
        <f>IF(Table1[[#This Row],[Resolution_Date]]="NA","Unresolved","Resolved")</f>
        <v>Unresolved</v>
      </c>
      <c r="K1079" t="str">
        <f>IF(Table1[[#This Row],[Resolution_Date]]="NA"," ",Table1[[#This Row],[Resolution_Date]]-Table1[[#This Row],[Complaint_Date]])</f>
        <v xml:space="preserve"> </v>
      </c>
      <c r="L1079" t="str">
        <f>TEXT(Table1[[#This Row],[Complaint_Date]],"MMM")</f>
        <v>Jun</v>
      </c>
      <c r="M1079" t="str">
        <f>IF(Table1[[#This Row],[Resolution_Time_Hours]]&lt;=24,"Fast",IF(Table1[[#This Row],[Resolution_Time_Hours]]&lt;=72,"Medium","Slow"))</f>
        <v>Fast</v>
      </c>
    </row>
    <row r="1080" spans="1:13" x14ac:dyDescent="0.3">
      <c r="A1080" t="s">
        <v>2540</v>
      </c>
      <c r="B1080" t="s">
        <v>2541</v>
      </c>
      <c r="C1080" t="s">
        <v>53</v>
      </c>
      <c r="D1080" t="s">
        <v>27</v>
      </c>
      <c r="E1080" s="2" t="s">
        <v>658</v>
      </c>
      <c r="F1080">
        <v>6</v>
      </c>
      <c r="G1080" t="s">
        <v>40</v>
      </c>
      <c r="H1080" s="2" t="s">
        <v>2820</v>
      </c>
      <c r="J1080" t="str">
        <f>IF(Table1[[#This Row],[Resolution_Date]]="NA","Unresolved","Resolved")</f>
        <v>Unresolved</v>
      </c>
      <c r="K1080" t="str">
        <f>IF(Table1[[#This Row],[Resolution_Date]]="NA"," ",Table1[[#This Row],[Resolution_Date]]-Table1[[#This Row],[Complaint_Date]])</f>
        <v xml:space="preserve"> </v>
      </c>
      <c r="L1080" t="str">
        <f>TEXT(Table1[[#This Row],[Complaint_Date]],"MMM")</f>
        <v>Jul</v>
      </c>
      <c r="M1080" t="str">
        <f>IF(Table1[[#This Row],[Resolution_Time_Hours]]&lt;=24,"Fast",IF(Table1[[#This Row],[Resolution_Time_Hours]]&lt;=72,"Medium","Slow"))</f>
        <v>Fast</v>
      </c>
    </row>
    <row r="1081" spans="1:13" x14ac:dyDescent="0.3">
      <c r="A1081" t="s">
        <v>2542</v>
      </c>
      <c r="B1081" t="s">
        <v>2543</v>
      </c>
      <c r="C1081" t="s">
        <v>11</v>
      </c>
      <c r="D1081" t="s">
        <v>95</v>
      </c>
      <c r="E1081" s="2" t="s">
        <v>370</v>
      </c>
      <c r="F1081">
        <v>44</v>
      </c>
      <c r="G1081" t="s">
        <v>40</v>
      </c>
      <c r="H1081" s="2" t="s">
        <v>2820</v>
      </c>
      <c r="J1081" t="str">
        <f>IF(Table1[[#This Row],[Resolution_Date]]="NA","Unresolved","Resolved")</f>
        <v>Unresolved</v>
      </c>
      <c r="K1081" t="str">
        <f>IF(Table1[[#This Row],[Resolution_Date]]="NA"," ",Table1[[#This Row],[Resolution_Date]]-Table1[[#This Row],[Complaint_Date]])</f>
        <v xml:space="preserve"> </v>
      </c>
      <c r="L1081" t="str">
        <f>TEXT(Table1[[#This Row],[Complaint_Date]],"MMM")</f>
        <v>May</v>
      </c>
      <c r="M1081" t="str">
        <f>IF(Table1[[#This Row],[Resolution_Time_Hours]]&lt;=24,"Fast",IF(Table1[[#This Row],[Resolution_Time_Hours]]&lt;=72,"Medium","Slow"))</f>
        <v>Medium</v>
      </c>
    </row>
    <row r="1082" spans="1:13" x14ac:dyDescent="0.3">
      <c r="A1082" t="s">
        <v>2544</v>
      </c>
      <c r="B1082" t="s">
        <v>2545</v>
      </c>
      <c r="C1082" t="s">
        <v>11</v>
      </c>
      <c r="D1082" t="s">
        <v>27</v>
      </c>
      <c r="E1082" s="2" t="s">
        <v>2546</v>
      </c>
      <c r="F1082">
        <v>21</v>
      </c>
      <c r="G1082" t="s">
        <v>14</v>
      </c>
      <c r="H1082" s="2" t="s">
        <v>2820</v>
      </c>
      <c r="J1082" t="str">
        <f>IF(Table1[[#This Row],[Resolution_Date]]="NA","Unresolved","Resolved")</f>
        <v>Unresolved</v>
      </c>
      <c r="K1082" t="str">
        <f>IF(Table1[[#This Row],[Resolution_Date]]="NA"," ",Table1[[#This Row],[Resolution_Date]]-Table1[[#This Row],[Complaint_Date]])</f>
        <v xml:space="preserve"> </v>
      </c>
      <c r="L1082" t="str">
        <f>TEXT(Table1[[#This Row],[Complaint_Date]],"MMM")</f>
        <v>Dec</v>
      </c>
      <c r="M1082" t="str">
        <f>IF(Table1[[#This Row],[Resolution_Time_Hours]]&lt;=24,"Fast",IF(Table1[[#This Row],[Resolution_Time_Hours]]&lt;=72,"Medium","Slow"))</f>
        <v>Fast</v>
      </c>
    </row>
    <row r="1083" spans="1:13" x14ac:dyDescent="0.3">
      <c r="A1083" t="s">
        <v>2547</v>
      </c>
      <c r="B1083" t="s">
        <v>2548</v>
      </c>
      <c r="C1083" t="s">
        <v>43</v>
      </c>
      <c r="D1083" t="s">
        <v>12</v>
      </c>
      <c r="E1083" s="2" t="s">
        <v>2549</v>
      </c>
      <c r="F1083">
        <v>59</v>
      </c>
      <c r="G1083" t="s">
        <v>20</v>
      </c>
      <c r="H1083" s="2" t="s">
        <v>326</v>
      </c>
      <c r="I1083">
        <v>1</v>
      </c>
      <c r="J1083" t="str">
        <f>IF(Table1[[#This Row],[Resolution_Date]]="NA","Unresolved","Resolved")</f>
        <v>Resolved</v>
      </c>
      <c r="K1083">
        <f>IF(Table1[[#This Row],[Resolution_Date]]="NA"," ",Table1[[#This Row],[Resolution_Date]]-Table1[[#This Row],[Complaint_Date]])</f>
        <v>2</v>
      </c>
      <c r="L1083" t="str">
        <f>TEXT(Table1[[#This Row],[Complaint_Date]],"MMM")</f>
        <v>Sep</v>
      </c>
      <c r="M1083" t="str">
        <f>IF(Table1[[#This Row],[Resolution_Time_Hours]]&lt;=24,"Fast",IF(Table1[[#This Row],[Resolution_Time_Hours]]&lt;=72,"Medium","Slow"))</f>
        <v>Medium</v>
      </c>
    </row>
    <row r="1084" spans="1:13" x14ac:dyDescent="0.3">
      <c r="A1084" t="s">
        <v>2550</v>
      </c>
      <c r="B1084" t="s">
        <v>2551</v>
      </c>
      <c r="C1084" t="s">
        <v>11</v>
      </c>
      <c r="D1084" t="s">
        <v>38</v>
      </c>
      <c r="E1084" s="2" t="s">
        <v>241</v>
      </c>
      <c r="F1084">
        <v>38</v>
      </c>
      <c r="G1084" t="s">
        <v>20</v>
      </c>
      <c r="H1084" s="2" t="s">
        <v>2552</v>
      </c>
      <c r="I1084">
        <v>2</v>
      </c>
      <c r="J1084" t="str">
        <f>IF(Table1[[#This Row],[Resolution_Date]]="NA","Unresolved","Resolved")</f>
        <v>Resolved</v>
      </c>
      <c r="K1084">
        <f>IF(Table1[[#This Row],[Resolution_Date]]="NA"," ",Table1[[#This Row],[Resolution_Date]]-Table1[[#This Row],[Complaint_Date]])</f>
        <v>1</v>
      </c>
      <c r="L1084" t="str">
        <f>TEXT(Table1[[#This Row],[Complaint_Date]],"MMM")</f>
        <v>Jun</v>
      </c>
      <c r="M1084" t="str">
        <f>IF(Table1[[#This Row],[Resolution_Time_Hours]]&lt;=24,"Fast",IF(Table1[[#This Row],[Resolution_Time_Hours]]&lt;=72,"Medium","Slow"))</f>
        <v>Medium</v>
      </c>
    </row>
    <row r="1085" spans="1:13" x14ac:dyDescent="0.3">
      <c r="A1085" t="s">
        <v>2553</v>
      </c>
      <c r="B1085" t="s">
        <v>2554</v>
      </c>
      <c r="C1085" t="s">
        <v>17</v>
      </c>
      <c r="D1085" t="s">
        <v>38</v>
      </c>
      <c r="E1085" s="2" t="s">
        <v>413</v>
      </c>
      <c r="F1085">
        <v>32</v>
      </c>
      <c r="G1085" t="s">
        <v>14</v>
      </c>
      <c r="H1085" s="2" t="s">
        <v>2820</v>
      </c>
      <c r="J1085" t="str">
        <f>IF(Table1[[#This Row],[Resolution_Date]]="NA","Unresolved","Resolved")</f>
        <v>Unresolved</v>
      </c>
      <c r="K1085" t="str">
        <f>IF(Table1[[#This Row],[Resolution_Date]]="NA"," ",Table1[[#This Row],[Resolution_Date]]-Table1[[#This Row],[Complaint_Date]])</f>
        <v xml:space="preserve"> </v>
      </c>
      <c r="L1085" t="str">
        <f>TEXT(Table1[[#This Row],[Complaint_Date]],"MMM")</f>
        <v>Jun</v>
      </c>
      <c r="M1085" t="str">
        <f>IF(Table1[[#This Row],[Resolution_Time_Hours]]&lt;=24,"Fast",IF(Table1[[#This Row],[Resolution_Time_Hours]]&lt;=72,"Medium","Slow"))</f>
        <v>Medium</v>
      </c>
    </row>
    <row r="1086" spans="1:13" x14ac:dyDescent="0.3">
      <c r="A1086" t="s">
        <v>2555</v>
      </c>
      <c r="B1086" t="s">
        <v>2556</v>
      </c>
      <c r="C1086" t="s">
        <v>53</v>
      </c>
      <c r="D1086" t="s">
        <v>95</v>
      </c>
      <c r="E1086" s="2" t="s">
        <v>329</v>
      </c>
      <c r="F1086">
        <v>12</v>
      </c>
      <c r="G1086" t="s">
        <v>20</v>
      </c>
      <c r="H1086" s="2" t="s">
        <v>329</v>
      </c>
      <c r="I1086">
        <v>4</v>
      </c>
      <c r="J1086" t="str">
        <f>IF(Table1[[#This Row],[Resolution_Date]]="NA","Unresolved","Resolved")</f>
        <v>Resolved</v>
      </c>
      <c r="K1086">
        <f>IF(Table1[[#This Row],[Resolution_Date]]="NA"," ",Table1[[#This Row],[Resolution_Date]]-Table1[[#This Row],[Complaint_Date]])</f>
        <v>0</v>
      </c>
      <c r="L1086" t="str">
        <f>TEXT(Table1[[#This Row],[Complaint_Date]],"MMM")</f>
        <v>Nov</v>
      </c>
      <c r="M1086" t="str">
        <f>IF(Table1[[#This Row],[Resolution_Time_Hours]]&lt;=24,"Fast",IF(Table1[[#This Row],[Resolution_Time_Hours]]&lt;=72,"Medium","Slow"))</f>
        <v>Fast</v>
      </c>
    </row>
    <row r="1087" spans="1:13" x14ac:dyDescent="0.3">
      <c r="A1087" t="s">
        <v>2557</v>
      </c>
      <c r="B1087" t="s">
        <v>2558</v>
      </c>
      <c r="C1087" t="s">
        <v>17</v>
      </c>
      <c r="D1087" t="s">
        <v>18</v>
      </c>
      <c r="E1087" s="2" t="s">
        <v>832</v>
      </c>
      <c r="F1087">
        <v>12</v>
      </c>
      <c r="G1087" t="s">
        <v>20</v>
      </c>
      <c r="H1087" s="2" t="s">
        <v>832</v>
      </c>
      <c r="I1087">
        <v>4</v>
      </c>
      <c r="J1087" t="str">
        <f>IF(Table1[[#This Row],[Resolution_Date]]="NA","Unresolved","Resolved")</f>
        <v>Resolved</v>
      </c>
      <c r="K1087">
        <f>IF(Table1[[#This Row],[Resolution_Date]]="NA"," ",Table1[[#This Row],[Resolution_Date]]-Table1[[#This Row],[Complaint_Date]])</f>
        <v>0</v>
      </c>
      <c r="L1087" t="str">
        <f>TEXT(Table1[[#This Row],[Complaint_Date]],"MMM")</f>
        <v>Aug</v>
      </c>
      <c r="M1087" t="str">
        <f>IF(Table1[[#This Row],[Resolution_Time_Hours]]&lt;=24,"Fast",IF(Table1[[#This Row],[Resolution_Time_Hours]]&lt;=72,"Medium","Slow"))</f>
        <v>Fast</v>
      </c>
    </row>
    <row r="1088" spans="1:13" x14ac:dyDescent="0.3">
      <c r="A1088" t="s">
        <v>2559</v>
      </c>
      <c r="B1088" t="s">
        <v>2560</v>
      </c>
      <c r="C1088" t="s">
        <v>17</v>
      </c>
      <c r="D1088" t="s">
        <v>27</v>
      </c>
      <c r="E1088" s="2" t="s">
        <v>753</v>
      </c>
      <c r="F1088">
        <v>6</v>
      </c>
      <c r="G1088" t="s">
        <v>20</v>
      </c>
      <c r="H1088" s="2" t="s">
        <v>753</v>
      </c>
      <c r="I1088">
        <v>5</v>
      </c>
      <c r="J1088" t="str">
        <f>IF(Table1[[#This Row],[Resolution_Date]]="NA","Unresolved","Resolved")</f>
        <v>Resolved</v>
      </c>
      <c r="K1088">
        <f>IF(Table1[[#This Row],[Resolution_Date]]="NA"," ",Table1[[#This Row],[Resolution_Date]]-Table1[[#This Row],[Complaint_Date]])</f>
        <v>0</v>
      </c>
      <c r="L1088" t="str">
        <f>TEXT(Table1[[#This Row],[Complaint_Date]],"MMM")</f>
        <v>Feb</v>
      </c>
      <c r="M1088" t="str">
        <f>IF(Table1[[#This Row],[Resolution_Time_Hours]]&lt;=24,"Fast",IF(Table1[[#This Row],[Resolution_Time_Hours]]&lt;=72,"Medium","Slow"))</f>
        <v>Fast</v>
      </c>
    </row>
    <row r="1089" spans="1:13" x14ac:dyDescent="0.3">
      <c r="A1089" t="s">
        <v>2561</v>
      </c>
      <c r="B1089" t="s">
        <v>2562</v>
      </c>
      <c r="C1089" t="s">
        <v>34</v>
      </c>
      <c r="D1089" t="s">
        <v>18</v>
      </c>
      <c r="E1089" s="2" t="s">
        <v>546</v>
      </c>
      <c r="F1089">
        <v>68</v>
      </c>
      <c r="G1089" t="s">
        <v>20</v>
      </c>
      <c r="H1089" s="2" t="s">
        <v>1328</v>
      </c>
      <c r="I1089">
        <v>1</v>
      </c>
      <c r="J1089" t="str">
        <f>IF(Table1[[#This Row],[Resolution_Date]]="NA","Unresolved","Resolved")</f>
        <v>Resolved</v>
      </c>
      <c r="K1089">
        <f>IF(Table1[[#This Row],[Resolution_Date]]="NA"," ",Table1[[#This Row],[Resolution_Date]]-Table1[[#This Row],[Complaint_Date]])</f>
        <v>2</v>
      </c>
      <c r="L1089" t="str">
        <f>TEXT(Table1[[#This Row],[Complaint_Date]],"MMM")</f>
        <v>Jan</v>
      </c>
      <c r="M1089" t="str">
        <f>IF(Table1[[#This Row],[Resolution_Time_Hours]]&lt;=24,"Fast",IF(Table1[[#This Row],[Resolution_Time_Hours]]&lt;=72,"Medium","Slow"))</f>
        <v>Medium</v>
      </c>
    </row>
    <row r="1090" spans="1:13" x14ac:dyDescent="0.3">
      <c r="A1090" t="s">
        <v>2563</v>
      </c>
      <c r="B1090" t="s">
        <v>2564</v>
      </c>
      <c r="C1090" t="s">
        <v>110</v>
      </c>
      <c r="D1090" t="s">
        <v>95</v>
      </c>
      <c r="E1090" s="2" t="s">
        <v>176</v>
      </c>
      <c r="F1090">
        <v>5</v>
      </c>
      <c r="G1090" t="s">
        <v>40</v>
      </c>
      <c r="H1090" s="2" t="s">
        <v>2820</v>
      </c>
      <c r="J1090" t="str">
        <f>IF(Table1[[#This Row],[Resolution_Date]]="NA","Unresolved","Resolved")</f>
        <v>Unresolved</v>
      </c>
      <c r="K1090" t="str">
        <f>IF(Table1[[#This Row],[Resolution_Date]]="NA"," ",Table1[[#This Row],[Resolution_Date]]-Table1[[#This Row],[Complaint_Date]])</f>
        <v xml:space="preserve"> </v>
      </c>
      <c r="L1090" t="str">
        <f>TEXT(Table1[[#This Row],[Complaint_Date]],"MMM")</f>
        <v>Aug</v>
      </c>
      <c r="M1090" t="str">
        <f>IF(Table1[[#This Row],[Resolution_Time_Hours]]&lt;=24,"Fast",IF(Table1[[#This Row],[Resolution_Time_Hours]]&lt;=72,"Medium","Slow"))</f>
        <v>Fast</v>
      </c>
    </row>
    <row r="1091" spans="1:13" x14ac:dyDescent="0.3">
      <c r="A1091" t="s">
        <v>2565</v>
      </c>
      <c r="B1091" t="s">
        <v>2566</v>
      </c>
      <c r="C1091" t="s">
        <v>34</v>
      </c>
      <c r="D1091" t="s">
        <v>38</v>
      </c>
      <c r="E1091" s="2" t="s">
        <v>114</v>
      </c>
      <c r="F1091">
        <v>93</v>
      </c>
      <c r="G1091" t="s">
        <v>14</v>
      </c>
      <c r="H1091" s="2" t="s">
        <v>2820</v>
      </c>
      <c r="J1091" t="str">
        <f>IF(Table1[[#This Row],[Resolution_Date]]="NA","Unresolved","Resolved")</f>
        <v>Unresolved</v>
      </c>
      <c r="K1091" t="str">
        <f>IF(Table1[[#This Row],[Resolution_Date]]="NA"," ",Table1[[#This Row],[Resolution_Date]]-Table1[[#This Row],[Complaint_Date]])</f>
        <v xml:space="preserve"> </v>
      </c>
      <c r="L1091" t="str">
        <f>TEXT(Table1[[#This Row],[Complaint_Date]],"MMM")</f>
        <v>Jan</v>
      </c>
      <c r="M1091" t="str">
        <f>IF(Table1[[#This Row],[Resolution_Time_Hours]]&lt;=24,"Fast",IF(Table1[[#This Row],[Resolution_Time_Hours]]&lt;=72,"Medium","Slow"))</f>
        <v>Slow</v>
      </c>
    </row>
    <row r="1092" spans="1:13" x14ac:dyDescent="0.3">
      <c r="A1092" t="s">
        <v>2567</v>
      </c>
      <c r="B1092" t="s">
        <v>2568</v>
      </c>
      <c r="C1092" t="s">
        <v>53</v>
      </c>
      <c r="D1092" t="s">
        <v>27</v>
      </c>
      <c r="E1092" s="2" t="s">
        <v>79</v>
      </c>
      <c r="F1092">
        <v>4</v>
      </c>
      <c r="G1092" t="s">
        <v>40</v>
      </c>
      <c r="H1092" s="2" t="s">
        <v>2820</v>
      </c>
      <c r="J1092" t="str">
        <f>IF(Table1[[#This Row],[Resolution_Date]]="NA","Unresolved","Resolved")</f>
        <v>Unresolved</v>
      </c>
      <c r="K1092" t="str">
        <f>IF(Table1[[#This Row],[Resolution_Date]]="NA"," ",Table1[[#This Row],[Resolution_Date]]-Table1[[#This Row],[Complaint_Date]])</f>
        <v xml:space="preserve"> </v>
      </c>
      <c r="L1092" t="str">
        <f>TEXT(Table1[[#This Row],[Complaint_Date]],"MMM")</f>
        <v>Jun</v>
      </c>
      <c r="M1092" t="str">
        <f>IF(Table1[[#This Row],[Resolution_Time_Hours]]&lt;=24,"Fast",IF(Table1[[#This Row],[Resolution_Time_Hours]]&lt;=72,"Medium","Slow"))</f>
        <v>Fast</v>
      </c>
    </row>
    <row r="1093" spans="1:13" x14ac:dyDescent="0.3">
      <c r="A1093" t="s">
        <v>2569</v>
      </c>
      <c r="B1093" t="s">
        <v>2570</v>
      </c>
      <c r="C1093" t="s">
        <v>70</v>
      </c>
      <c r="D1093" t="s">
        <v>38</v>
      </c>
      <c r="E1093" s="2" t="s">
        <v>809</v>
      </c>
      <c r="F1093">
        <v>15</v>
      </c>
      <c r="G1093" t="s">
        <v>20</v>
      </c>
      <c r="H1093" s="2" t="s">
        <v>809</v>
      </c>
      <c r="I1093">
        <v>3</v>
      </c>
      <c r="J1093" t="str">
        <f>IF(Table1[[#This Row],[Resolution_Date]]="NA","Unresolved","Resolved")</f>
        <v>Resolved</v>
      </c>
      <c r="K1093">
        <f>IF(Table1[[#This Row],[Resolution_Date]]="NA"," ",Table1[[#This Row],[Resolution_Date]]-Table1[[#This Row],[Complaint_Date]])</f>
        <v>0</v>
      </c>
      <c r="L1093" t="str">
        <f>TEXT(Table1[[#This Row],[Complaint_Date]],"MMM")</f>
        <v>May</v>
      </c>
      <c r="M1093" t="str">
        <f>IF(Table1[[#This Row],[Resolution_Time_Hours]]&lt;=24,"Fast",IF(Table1[[#This Row],[Resolution_Time_Hours]]&lt;=72,"Medium","Slow"))</f>
        <v>Fast</v>
      </c>
    </row>
    <row r="1094" spans="1:13" x14ac:dyDescent="0.3">
      <c r="A1094" t="s">
        <v>2571</v>
      </c>
      <c r="B1094" t="s">
        <v>2572</v>
      </c>
      <c r="C1094" t="s">
        <v>70</v>
      </c>
      <c r="D1094" t="s">
        <v>12</v>
      </c>
      <c r="E1094" s="2" t="s">
        <v>1317</v>
      </c>
      <c r="F1094">
        <v>8</v>
      </c>
      <c r="G1094" t="s">
        <v>14</v>
      </c>
      <c r="H1094" s="2" t="s">
        <v>2820</v>
      </c>
      <c r="J1094" t="str">
        <f>IF(Table1[[#This Row],[Resolution_Date]]="NA","Unresolved","Resolved")</f>
        <v>Unresolved</v>
      </c>
      <c r="K1094" t="str">
        <f>IF(Table1[[#This Row],[Resolution_Date]]="NA"," ",Table1[[#This Row],[Resolution_Date]]-Table1[[#This Row],[Complaint_Date]])</f>
        <v xml:space="preserve"> </v>
      </c>
      <c r="L1094" t="str">
        <f>TEXT(Table1[[#This Row],[Complaint_Date]],"MMM")</f>
        <v>Jun</v>
      </c>
      <c r="M1094" t="str">
        <f>IF(Table1[[#This Row],[Resolution_Time_Hours]]&lt;=24,"Fast",IF(Table1[[#This Row],[Resolution_Time_Hours]]&lt;=72,"Medium","Slow"))</f>
        <v>Fast</v>
      </c>
    </row>
    <row r="1095" spans="1:13" x14ac:dyDescent="0.3">
      <c r="A1095" t="s">
        <v>2573</v>
      </c>
      <c r="B1095" t="s">
        <v>2574</v>
      </c>
      <c r="C1095" t="s">
        <v>110</v>
      </c>
      <c r="D1095" t="s">
        <v>12</v>
      </c>
      <c r="E1095" s="2" t="s">
        <v>386</v>
      </c>
      <c r="F1095">
        <v>23</v>
      </c>
      <c r="G1095" t="s">
        <v>20</v>
      </c>
      <c r="H1095" s="2" t="s">
        <v>386</v>
      </c>
      <c r="I1095">
        <v>3</v>
      </c>
      <c r="J1095" t="str">
        <f>IF(Table1[[#This Row],[Resolution_Date]]="NA","Unresolved","Resolved")</f>
        <v>Resolved</v>
      </c>
      <c r="K1095">
        <f>IF(Table1[[#This Row],[Resolution_Date]]="NA"," ",Table1[[#This Row],[Resolution_Date]]-Table1[[#This Row],[Complaint_Date]])</f>
        <v>0</v>
      </c>
      <c r="L1095" t="str">
        <f>TEXT(Table1[[#This Row],[Complaint_Date]],"MMM")</f>
        <v>Jul</v>
      </c>
      <c r="M1095" t="str">
        <f>IF(Table1[[#This Row],[Resolution_Time_Hours]]&lt;=24,"Fast",IF(Table1[[#This Row],[Resolution_Time_Hours]]&lt;=72,"Medium","Slow"))</f>
        <v>Fast</v>
      </c>
    </row>
    <row r="1096" spans="1:13" x14ac:dyDescent="0.3">
      <c r="A1096" t="s">
        <v>2575</v>
      </c>
      <c r="B1096" t="s">
        <v>2576</v>
      </c>
      <c r="C1096" t="s">
        <v>34</v>
      </c>
      <c r="D1096" t="s">
        <v>27</v>
      </c>
      <c r="E1096" s="2" t="s">
        <v>532</v>
      </c>
      <c r="F1096">
        <v>88</v>
      </c>
      <c r="G1096" t="s">
        <v>20</v>
      </c>
      <c r="H1096" s="2" t="s">
        <v>79</v>
      </c>
      <c r="I1096">
        <v>1</v>
      </c>
      <c r="J1096" t="str">
        <f>IF(Table1[[#This Row],[Resolution_Date]]="NA","Unresolved","Resolved")</f>
        <v>Resolved</v>
      </c>
      <c r="K1096">
        <f>IF(Table1[[#This Row],[Resolution_Date]]="NA"," ",Table1[[#This Row],[Resolution_Date]]-Table1[[#This Row],[Complaint_Date]])</f>
        <v>3</v>
      </c>
      <c r="L1096" t="str">
        <f>TEXT(Table1[[#This Row],[Complaint_Date]],"MMM")</f>
        <v>Jun</v>
      </c>
      <c r="M1096" t="str">
        <f>IF(Table1[[#This Row],[Resolution_Time_Hours]]&lt;=24,"Fast",IF(Table1[[#This Row],[Resolution_Time_Hours]]&lt;=72,"Medium","Slow"))</f>
        <v>Slow</v>
      </c>
    </row>
    <row r="1097" spans="1:13" x14ac:dyDescent="0.3">
      <c r="A1097" t="s">
        <v>2577</v>
      </c>
      <c r="B1097" t="s">
        <v>2578</v>
      </c>
      <c r="C1097" t="s">
        <v>34</v>
      </c>
      <c r="D1097" t="s">
        <v>38</v>
      </c>
      <c r="E1097" s="2" t="s">
        <v>54</v>
      </c>
      <c r="F1097">
        <v>29</v>
      </c>
      <c r="G1097" t="s">
        <v>20</v>
      </c>
      <c r="H1097" s="2" t="s">
        <v>525</v>
      </c>
      <c r="I1097">
        <v>2</v>
      </c>
      <c r="J1097" t="str">
        <f>IF(Table1[[#This Row],[Resolution_Date]]="NA","Unresolved","Resolved")</f>
        <v>Resolved</v>
      </c>
      <c r="K1097">
        <f>IF(Table1[[#This Row],[Resolution_Date]]="NA"," ",Table1[[#This Row],[Resolution_Date]]-Table1[[#This Row],[Complaint_Date]])</f>
        <v>1</v>
      </c>
      <c r="L1097" t="str">
        <f>TEXT(Table1[[#This Row],[Complaint_Date]],"MMM")</f>
        <v>Mar</v>
      </c>
      <c r="M1097" t="str">
        <f>IF(Table1[[#This Row],[Resolution_Time_Hours]]&lt;=24,"Fast",IF(Table1[[#This Row],[Resolution_Time_Hours]]&lt;=72,"Medium","Slow"))</f>
        <v>Medium</v>
      </c>
    </row>
    <row r="1098" spans="1:13" x14ac:dyDescent="0.3">
      <c r="A1098" t="s">
        <v>2579</v>
      </c>
      <c r="B1098" t="s">
        <v>2580</v>
      </c>
      <c r="C1098" t="s">
        <v>43</v>
      </c>
      <c r="D1098" t="s">
        <v>12</v>
      </c>
      <c r="E1098" s="2" t="s">
        <v>385</v>
      </c>
      <c r="F1098">
        <v>58</v>
      </c>
      <c r="G1098" t="s">
        <v>14</v>
      </c>
      <c r="H1098" s="2" t="s">
        <v>2820</v>
      </c>
      <c r="J1098" t="str">
        <f>IF(Table1[[#This Row],[Resolution_Date]]="NA","Unresolved","Resolved")</f>
        <v>Unresolved</v>
      </c>
      <c r="K1098" t="str">
        <f>IF(Table1[[#This Row],[Resolution_Date]]="NA"," ",Table1[[#This Row],[Resolution_Date]]-Table1[[#This Row],[Complaint_Date]])</f>
        <v xml:space="preserve"> </v>
      </c>
      <c r="L1098" t="str">
        <f>TEXT(Table1[[#This Row],[Complaint_Date]],"MMM")</f>
        <v>Jul</v>
      </c>
      <c r="M1098" t="str">
        <f>IF(Table1[[#This Row],[Resolution_Time_Hours]]&lt;=24,"Fast",IF(Table1[[#This Row],[Resolution_Time_Hours]]&lt;=72,"Medium","Slow"))</f>
        <v>Medium</v>
      </c>
    </row>
    <row r="1099" spans="1:13" x14ac:dyDescent="0.3">
      <c r="A1099" t="s">
        <v>2581</v>
      </c>
      <c r="B1099" t="s">
        <v>2582</v>
      </c>
      <c r="C1099" t="s">
        <v>53</v>
      </c>
      <c r="D1099" t="s">
        <v>38</v>
      </c>
      <c r="E1099" s="2" t="s">
        <v>591</v>
      </c>
      <c r="F1099">
        <v>3</v>
      </c>
      <c r="G1099" t="s">
        <v>14</v>
      </c>
      <c r="H1099" s="2" t="s">
        <v>2820</v>
      </c>
      <c r="J1099" t="str">
        <f>IF(Table1[[#This Row],[Resolution_Date]]="NA","Unresolved","Resolved")</f>
        <v>Unresolved</v>
      </c>
      <c r="K1099" t="str">
        <f>IF(Table1[[#This Row],[Resolution_Date]]="NA"," ",Table1[[#This Row],[Resolution_Date]]-Table1[[#This Row],[Complaint_Date]])</f>
        <v xml:space="preserve"> </v>
      </c>
      <c r="L1099" t="str">
        <f>TEXT(Table1[[#This Row],[Complaint_Date]],"MMM")</f>
        <v>Aug</v>
      </c>
      <c r="M1099" t="str">
        <f>IF(Table1[[#This Row],[Resolution_Time_Hours]]&lt;=24,"Fast",IF(Table1[[#This Row],[Resolution_Time_Hours]]&lt;=72,"Medium","Slow"))</f>
        <v>Fast</v>
      </c>
    </row>
    <row r="1100" spans="1:13" x14ac:dyDescent="0.3">
      <c r="A1100" t="s">
        <v>2583</v>
      </c>
      <c r="B1100" t="s">
        <v>2584</v>
      </c>
      <c r="C1100" t="s">
        <v>70</v>
      </c>
      <c r="D1100" t="s">
        <v>27</v>
      </c>
      <c r="E1100" s="2" t="s">
        <v>103</v>
      </c>
      <c r="F1100">
        <v>4</v>
      </c>
      <c r="G1100" t="s">
        <v>20</v>
      </c>
      <c r="H1100" s="2" t="s">
        <v>103</v>
      </c>
      <c r="I1100">
        <v>5</v>
      </c>
      <c r="J1100" t="str">
        <f>IF(Table1[[#This Row],[Resolution_Date]]="NA","Unresolved","Resolved")</f>
        <v>Resolved</v>
      </c>
      <c r="K1100">
        <f>IF(Table1[[#This Row],[Resolution_Date]]="NA"," ",Table1[[#This Row],[Resolution_Date]]-Table1[[#This Row],[Complaint_Date]])</f>
        <v>0</v>
      </c>
      <c r="L1100" t="str">
        <f>TEXT(Table1[[#This Row],[Complaint_Date]],"MMM")</f>
        <v>Apr</v>
      </c>
      <c r="M1100" t="str">
        <f>IF(Table1[[#This Row],[Resolution_Time_Hours]]&lt;=24,"Fast",IF(Table1[[#This Row],[Resolution_Time_Hours]]&lt;=72,"Medium","Slow"))</f>
        <v>Fast</v>
      </c>
    </row>
    <row r="1101" spans="1:13" x14ac:dyDescent="0.3">
      <c r="A1101" t="s">
        <v>2585</v>
      </c>
      <c r="B1101" t="s">
        <v>2586</v>
      </c>
      <c r="C1101" t="s">
        <v>70</v>
      </c>
      <c r="D1101" t="s">
        <v>95</v>
      </c>
      <c r="E1101" s="2" t="s">
        <v>1017</v>
      </c>
      <c r="F1101">
        <v>2</v>
      </c>
      <c r="G1101" t="s">
        <v>20</v>
      </c>
      <c r="H1101" s="2" t="s">
        <v>1017</v>
      </c>
      <c r="I1101">
        <v>5</v>
      </c>
      <c r="J1101" t="str">
        <f>IF(Table1[[#This Row],[Resolution_Date]]="NA","Unresolved","Resolved")</f>
        <v>Resolved</v>
      </c>
      <c r="K1101">
        <f>IF(Table1[[#This Row],[Resolution_Date]]="NA"," ",Table1[[#This Row],[Resolution_Date]]-Table1[[#This Row],[Complaint_Date]])</f>
        <v>0</v>
      </c>
      <c r="L1101" t="str">
        <f>TEXT(Table1[[#This Row],[Complaint_Date]],"MMM")</f>
        <v>Aug</v>
      </c>
      <c r="M1101" t="str">
        <f>IF(Table1[[#This Row],[Resolution_Time_Hours]]&lt;=24,"Fast",IF(Table1[[#This Row],[Resolution_Time_Hours]]&lt;=72,"Medium","Slow"))</f>
        <v>Fast</v>
      </c>
    </row>
    <row r="1102" spans="1:13" x14ac:dyDescent="0.3">
      <c r="A1102" t="s">
        <v>2587</v>
      </c>
      <c r="B1102" t="s">
        <v>2588</v>
      </c>
      <c r="C1102" t="s">
        <v>48</v>
      </c>
      <c r="D1102" t="s">
        <v>27</v>
      </c>
      <c r="E1102" s="2" t="s">
        <v>179</v>
      </c>
      <c r="F1102">
        <v>21</v>
      </c>
      <c r="G1102" t="s">
        <v>14</v>
      </c>
      <c r="H1102" s="2" t="s">
        <v>2820</v>
      </c>
      <c r="J1102" t="str">
        <f>IF(Table1[[#This Row],[Resolution_Date]]="NA","Unresolved","Resolved")</f>
        <v>Unresolved</v>
      </c>
      <c r="K1102" t="str">
        <f>IF(Table1[[#This Row],[Resolution_Date]]="NA"," ",Table1[[#This Row],[Resolution_Date]]-Table1[[#This Row],[Complaint_Date]])</f>
        <v xml:space="preserve"> </v>
      </c>
      <c r="L1102" t="str">
        <f>TEXT(Table1[[#This Row],[Complaint_Date]],"MMM")</f>
        <v>Apr</v>
      </c>
      <c r="M1102" t="str">
        <f>IF(Table1[[#This Row],[Resolution_Time_Hours]]&lt;=24,"Fast",IF(Table1[[#This Row],[Resolution_Time_Hours]]&lt;=72,"Medium","Slow"))</f>
        <v>Fast</v>
      </c>
    </row>
    <row r="1103" spans="1:13" x14ac:dyDescent="0.3">
      <c r="A1103" t="s">
        <v>2589</v>
      </c>
      <c r="B1103" t="s">
        <v>2590</v>
      </c>
      <c r="C1103" t="s">
        <v>34</v>
      </c>
      <c r="D1103" t="s">
        <v>12</v>
      </c>
      <c r="E1103" s="2" t="s">
        <v>120</v>
      </c>
      <c r="F1103">
        <v>60</v>
      </c>
      <c r="G1103" t="s">
        <v>20</v>
      </c>
      <c r="H1103" s="2" t="s">
        <v>1197</v>
      </c>
      <c r="I1103">
        <v>1</v>
      </c>
      <c r="J1103" t="str">
        <f>IF(Table1[[#This Row],[Resolution_Date]]="NA","Unresolved","Resolved")</f>
        <v>Resolved</v>
      </c>
      <c r="K1103">
        <f>IF(Table1[[#This Row],[Resolution_Date]]="NA"," ",Table1[[#This Row],[Resolution_Date]]-Table1[[#This Row],[Complaint_Date]])</f>
        <v>2</v>
      </c>
      <c r="L1103" t="str">
        <f>TEXT(Table1[[#This Row],[Complaint_Date]],"MMM")</f>
        <v>Jul</v>
      </c>
      <c r="M1103" t="str">
        <f>IF(Table1[[#This Row],[Resolution_Time_Hours]]&lt;=24,"Fast",IF(Table1[[#This Row],[Resolution_Time_Hours]]&lt;=72,"Medium","Slow"))</f>
        <v>Medium</v>
      </c>
    </row>
    <row r="1104" spans="1:13" x14ac:dyDescent="0.3">
      <c r="A1104" t="s">
        <v>2591</v>
      </c>
      <c r="B1104" t="s">
        <v>2592</v>
      </c>
      <c r="C1104" t="s">
        <v>70</v>
      </c>
      <c r="D1104" t="s">
        <v>27</v>
      </c>
      <c r="E1104" s="2" t="s">
        <v>511</v>
      </c>
      <c r="F1104">
        <v>4</v>
      </c>
      <c r="G1104" t="s">
        <v>20</v>
      </c>
      <c r="H1104" s="2" t="s">
        <v>511</v>
      </c>
      <c r="I1104">
        <v>5</v>
      </c>
      <c r="J1104" t="str">
        <f>IF(Table1[[#This Row],[Resolution_Date]]="NA","Unresolved","Resolved")</f>
        <v>Resolved</v>
      </c>
      <c r="K1104">
        <f>IF(Table1[[#This Row],[Resolution_Date]]="NA"," ",Table1[[#This Row],[Resolution_Date]]-Table1[[#This Row],[Complaint_Date]])</f>
        <v>0</v>
      </c>
      <c r="L1104" t="str">
        <f>TEXT(Table1[[#This Row],[Complaint_Date]],"MMM")</f>
        <v>Jul</v>
      </c>
      <c r="M1104" t="str">
        <f>IF(Table1[[#This Row],[Resolution_Time_Hours]]&lt;=24,"Fast",IF(Table1[[#This Row],[Resolution_Time_Hours]]&lt;=72,"Medium","Slow"))</f>
        <v>Fast</v>
      </c>
    </row>
    <row r="1105" spans="1:13" x14ac:dyDescent="0.3">
      <c r="A1105" t="s">
        <v>2593</v>
      </c>
      <c r="B1105" t="s">
        <v>2594</v>
      </c>
      <c r="C1105" t="s">
        <v>17</v>
      </c>
      <c r="D1105" t="s">
        <v>95</v>
      </c>
      <c r="E1105" s="2" t="s">
        <v>686</v>
      </c>
      <c r="F1105">
        <v>5</v>
      </c>
      <c r="G1105" t="s">
        <v>20</v>
      </c>
      <c r="H1105" s="2" t="s">
        <v>686</v>
      </c>
      <c r="I1105">
        <v>5</v>
      </c>
      <c r="J1105" t="str">
        <f>IF(Table1[[#This Row],[Resolution_Date]]="NA","Unresolved","Resolved")</f>
        <v>Resolved</v>
      </c>
      <c r="K1105">
        <f>IF(Table1[[#This Row],[Resolution_Date]]="NA"," ",Table1[[#This Row],[Resolution_Date]]-Table1[[#This Row],[Complaint_Date]])</f>
        <v>0</v>
      </c>
      <c r="L1105" t="str">
        <f>TEXT(Table1[[#This Row],[Complaint_Date]],"MMM")</f>
        <v>Nov</v>
      </c>
      <c r="M1105" t="str">
        <f>IF(Table1[[#This Row],[Resolution_Time_Hours]]&lt;=24,"Fast",IF(Table1[[#This Row],[Resolution_Time_Hours]]&lt;=72,"Medium","Slow"))</f>
        <v>Fast</v>
      </c>
    </row>
    <row r="1106" spans="1:13" x14ac:dyDescent="0.3">
      <c r="A1106" t="s">
        <v>2595</v>
      </c>
      <c r="B1106" t="s">
        <v>2596</v>
      </c>
      <c r="C1106" t="s">
        <v>53</v>
      </c>
      <c r="D1106" t="s">
        <v>38</v>
      </c>
      <c r="E1106" s="2" t="s">
        <v>1265</v>
      </c>
      <c r="F1106">
        <v>1</v>
      </c>
      <c r="G1106" t="s">
        <v>40</v>
      </c>
      <c r="H1106" s="2" t="s">
        <v>2820</v>
      </c>
      <c r="J1106" t="str">
        <f>IF(Table1[[#This Row],[Resolution_Date]]="NA","Unresolved","Resolved")</f>
        <v>Unresolved</v>
      </c>
      <c r="K1106" t="str">
        <f>IF(Table1[[#This Row],[Resolution_Date]]="NA"," ",Table1[[#This Row],[Resolution_Date]]-Table1[[#This Row],[Complaint_Date]])</f>
        <v xml:space="preserve"> </v>
      </c>
      <c r="L1106" t="str">
        <f>TEXT(Table1[[#This Row],[Complaint_Date]],"MMM")</f>
        <v>Sep</v>
      </c>
      <c r="M1106" t="str">
        <f>IF(Table1[[#This Row],[Resolution_Time_Hours]]&lt;=24,"Fast",IF(Table1[[#This Row],[Resolution_Time_Hours]]&lt;=72,"Medium","Slow"))</f>
        <v>Fast</v>
      </c>
    </row>
    <row r="1107" spans="1:13" x14ac:dyDescent="0.3">
      <c r="A1107" t="s">
        <v>2597</v>
      </c>
      <c r="B1107" t="s">
        <v>2598</v>
      </c>
      <c r="C1107" t="s">
        <v>11</v>
      </c>
      <c r="D1107" t="s">
        <v>38</v>
      </c>
      <c r="E1107" s="2" t="s">
        <v>39</v>
      </c>
      <c r="F1107">
        <v>38</v>
      </c>
      <c r="G1107" t="s">
        <v>40</v>
      </c>
      <c r="H1107" s="2" t="s">
        <v>2820</v>
      </c>
      <c r="J1107" t="str">
        <f>IF(Table1[[#This Row],[Resolution_Date]]="NA","Unresolved","Resolved")</f>
        <v>Unresolved</v>
      </c>
      <c r="K1107" t="str">
        <f>IF(Table1[[#This Row],[Resolution_Date]]="NA"," ",Table1[[#This Row],[Resolution_Date]]-Table1[[#This Row],[Complaint_Date]])</f>
        <v xml:space="preserve"> </v>
      </c>
      <c r="L1107" t="str">
        <f>TEXT(Table1[[#This Row],[Complaint_Date]],"MMM")</f>
        <v>Jun</v>
      </c>
      <c r="M1107" t="str">
        <f>IF(Table1[[#This Row],[Resolution_Time_Hours]]&lt;=24,"Fast",IF(Table1[[#This Row],[Resolution_Time_Hours]]&lt;=72,"Medium","Slow"))</f>
        <v>Medium</v>
      </c>
    </row>
    <row r="1108" spans="1:13" x14ac:dyDescent="0.3">
      <c r="A1108" t="s">
        <v>2599</v>
      </c>
      <c r="B1108" t="s">
        <v>2600</v>
      </c>
      <c r="C1108" t="s">
        <v>11</v>
      </c>
      <c r="D1108" t="s">
        <v>38</v>
      </c>
      <c r="E1108" s="2" t="s">
        <v>2148</v>
      </c>
      <c r="F1108">
        <v>27</v>
      </c>
      <c r="G1108" t="s">
        <v>20</v>
      </c>
      <c r="H1108" s="2" t="s">
        <v>469</v>
      </c>
      <c r="I1108">
        <v>2</v>
      </c>
      <c r="J1108" t="str">
        <f>IF(Table1[[#This Row],[Resolution_Date]]="NA","Unresolved","Resolved")</f>
        <v>Resolved</v>
      </c>
      <c r="K1108">
        <f>IF(Table1[[#This Row],[Resolution_Date]]="NA"," ",Table1[[#This Row],[Resolution_Date]]-Table1[[#This Row],[Complaint_Date]])</f>
        <v>1</v>
      </c>
      <c r="L1108" t="str">
        <f>TEXT(Table1[[#This Row],[Complaint_Date]],"MMM")</f>
        <v>Oct</v>
      </c>
      <c r="M1108" t="str">
        <f>IF(Table1[[#This Row],[Resolution_Time_Hours]]&lt;=24,"Fast",IF(Table1[[#This Row],[Resolution_Time_Hours]]&lt;=72,"Medium","Slow"))</f>
        <v>Medium</v>
      </c>
    </row>
    <row r="1109" spans="1:13" x14ac:dyDescent="0.3">
      <c r="A1109" t="s">
        <v>2601</v>
      </c>
      <c r="B1109" t="s">
        <v>2602</v>
      </c>
      <c r="C1109" t="s">
        <v>43</v>
      </c>
      <c r="D1109" t="s">
        <v>27</v>
      </c>
      <c r="E1109" s="2" t="s">
        <v>529</v>
      </c>
      <c r="F1109">
        <v>35</v>
      </c>
      <c r="G1109" t="s">
        <v>20</v>
      </c>
      <c r="H1109" s="2" t="s">
        <v>287</v>
      </c>
      <c r="I1109">
        <v>2</v>
      </c>
      <c r="J1109" t="str">
        <f>IF(Table1[[#This Row],[Resolution_Date]]="NA","Unresolved","Resolved")</f>
        <v>Resolved</v>
      </c>
      <c r="K1109">
        <f>IF(Table1[[#This Row],[Resolution_Date]]="NA"," ",Table1[[#This Row],[Resolution_Date]]-Table1[[#This Row],[Complaint_Date]])</f>
        <v>1</v>
      </c>
      <c r="L1109" t="str">
        <f>TEXT(Table1[[#This Row],[Complaint_Date]],"MMM")</f>
        <v>Dec</v>
      </c>
      <c r="M1109" t="str">
        <f>IF(Table1[[#This Row],[Resolution_Time_Hours]]&lt;=24,"Fast",IF(Table1[[#This Row],[Resolution_Time_Hours]]&lt;=72,"Medium","Slow"))</f>
        <v>Medium</v>
      </c>
    </row>
    <row r="1110" spans="1:13" x14ac:dyDescent="0.3">
      <c r="A1110" t="s">
        <v>2603</v>
      </c>
      <c r="B1110" t="s">
        <v>2604</v>
      </c>
      <c r="C1110" t="s">
        <v>110</v>
      </c>
      <c r="D1110" t="s">
        <v>12</v>
      </c>
      <c r="E1110" s="2" t="s">
        <v>31</v>
      </c>
      <c r="F1110">
        <v>11</v>
      </c>
      <c r="G1110" t="s">
        <v>14</v>
      </c>
      <c r="H1110" s="2" t="s">
        <v>2820</v>
      </c>
      <c r="J1110" t="str">
        <f>IF(Table1[[#This Row],[Resolution_Date]]="NA","Unresolved","Resolved")</f>
        <v>Unresolved</v>
      </c>
      <c r="K1110" t="str">
        <f>IF(Table1[[#This Row],[Resolution_Date]]="NA"," ",Table1[[#This Row],[Resolution_Date]]-Table1[[#This Row],[Complaint_Date]])</f>
        <v xml:space="preserve"> </v>
      </c>
      <c r="L1110" t="str">
        <f>TEXT(Table1[[#This Row],[Complaint_Date]],"MMM")</f>
        <v>Mar</v>
      </c>
      <c r="M1110" t="str">
        <f>IF(Table1[[#This Row],[Resolution_Time_Hours]]&lt;=24,"Fast",IF(Table1[[#This Row],[Resolution_Time_Hours]]&lt;=72,"Medium","Slow"))</f>
        <v>Fast</v>
      </c>
    </row>
    <row r="1111" spans="1:13" x14ac:dyDescent="0.3">
      <c r="A1111" t="s">
        <v>2605</v>
      </c>
      <c r="B1111" t="s">
        <v>2606</v>
      </c>
      <c r="C1111" t="s">
        <v>110</v>
      </c>
      <c r="D1111" t="s">
        <v>18</v>
      </c>
      <c r="E1111" s="2" t="s">
        <v>240</v>
      </c>
      <c r="F1111">
        <v>18</v>
      </c>
      <c r="G1111" t="s">
        <v>20</v>
      </c>
      <c r="H1111" s="2" t="s">
        <v>240</v>
      </c>
      <c r="I1111">
        <v>3</v>
      </c>
      <c r="J1111" t="str">
        <f>IF(Table1[[#This Row],[Resolution_Date]]="NA","Unresolved","Resolved")</f>
        <v>Resolved</v>
      </c>
      <c r="K1111">
        <f>IF(Table1[[#This Row],[Resolution_Date]]="NA"," ",Table1[[#This Row],[Resolution_Date]]-Table1[[#This Row],[Complaint_Date]])</f>
        <v>0</v>
      </c>
      <c r="L1111" t="str">
        <f>TEXT(Table1[[#This Row],[Complaint_Date]],"MMM")</f>
        <v>Jun</v>
      </c>
      <c r="M1111" t="str">
        <f>IF(Table1[[#This Row],[Resolution_Time_Hours]]&lt;=24,"Fast",IF(Table1[[#This Row],[Resolution_Time_Hours]]&lt;=72,"Medium","Slow"))</f>
        <v>Fast</v>
      </c>
    </row>
    <row r="1112" spans="1:13" x14ac:dyDescent="0.3">
      <c r="A1112" t="s">
        <v>2607</v>
      </c>
      <c r="B1112" t="s">
        <v>2608</v>
      </c>
      <c r="C1112" t="s">
        <v>43</v>
      </c>
      <c r="D1112" t="s">
        <v>38</v>
      </c>
      <c r="E1112" s="2" t="s">
        <v>1277</v>
      </c>
      <c r="F1112">
        <v>47</v>
      </c>
      <c r="G1112" t="s">
        <v>20</v>
      </c>
      <c r="H1112" s="2" t="s">
        <v>273</v>
      </c>
      <c r="I1112">
        <v>2</v>
      </c>
      <c r="J1112" t="str">
        <f>IF(Table1[[#This Row],[Resolution_Date]]="NA","Unresolved","Resolved")</f>
        <v>Resolved</v>
      </c>
      <c r="K1112">
        <f>IF(Table1[[#This Row],[Resolution_Date]]="NA"," ",Table1[[#This Row],[Resolution_Date]]-Table1[[#This Row],[Complaint_Date]])</f>
        <v>1</v>
      </c>
      <c r="L1112" t="str">
        <f>TEXT(Table1[[#This Row],[Complaint_Date]],"MMM")</f>
        <v>Nov</v>
      </c>
      <c r="M1112" t="str">
        <f>IF(Table1[[#This Row],[Resolution_Time_Hours]]&lt;=24,"Fast",IF(Table1[[#This Row],[Resolution_Time_Hours]]&lt;=72,"Medium","Slow"))</f>
        <v>Medium</v>
      </c>
    </row>
    <row r="1113" spans="1:13" x14ac:dyDescent="0.3">
      <c r="A1113" t="s">
        <v>2609</v>
      </c>
      <c r="B1113" t="s">
        <v>2610</v>
      </c>
      <c r="C1113" t="s">
        <v>53</v>
      </c>
      <c r="D1113" t="s">
        <v>38</v>
      </c>
      <c r="E1113" s="2" t="s">
        <v>127</v>
      </c>
      <c r="F1113">
        <v>5</v>
      </c>
      <c r="G1113" t="s">
        <v>20</v>
      </c>
      <c r="H1113" s="2" t="s">
        <v>127</v>
      </c>
      <c r="I1113">
        <v>5</v>
      </c>
      <c r="J1113" t="str">
        <f>IF(Table1[[#This Row],[Resolution_Date]]="NA","Unresolved","Resolved")</f>
        <v>Resolved</v>
      </c>
      <c r="K1113">
        <f>IF(Table1[[#This Row],[Resolution_Date]]="NA"," ",Table1[[#This Row],[Resolution_Date]]-Table1[[#This Row],[Complaint_Date]])</f>
        <v>0</v>
      </c>
      <c r="L1113" t="str">
        <f>TEXT(Table1[[#This Row],[Complaint_Date]],"MMM")</f>
        <v>Aug</v>
      </c>
      <c r="M1113" t="str">
        <f>IF(Table1[[#This Row],[Resolution_Time_Hours]]&lt;=24,"Fast",IF(Table1[[#This Row],[Resolution_Time_Hours]]&lt;=72,"Medium","Slow"))</f>
        <v>Fast</v>
      </c>
    </row>
    <row r="1114" spans="1:13" x14ac:dyDescent="0.3">
      <c r="A1114" t="s">
        <v>2611</v>
      </c>
      <c r="B1114" t="s">
        <v>2612</v>
      </c>
      <c r="C1114" t="s">
        <v>17</v>
      </c>
      <c r="D1114" t="s">
        <v>38</v>
      </c>
      <c r="E1114" s="2" t="s">
        <v>201</v>
      </c>
      <c r="F1114">
        <v>24</v>
      </c>
      <c r="G1114" t="s">
        <v>14</v>
      </c>
      <c r="H1114" s="2" t="s">
        <v>2820</v>
      </c>
      <c r="J1114" t="str">
        <f>IF(Table1[[#This Row],[Resolution_Date]]="NA","Unresolved","Resolved")</f>
        <v>Unresolved</v>
      </c>
      <c r="K1114" t="str">
        <f>IF(Table1[[#This Row],[Resolution_Date]]="NA"," ",Table1[[#This Row],[Resolution_Date]]-Table1[[#This Row],[Complaint_Date]])</f>
        <v xml:space="preserve"> </v>
      </c>
      <c r="L1114" t="str">
        <f>TEXT(Table1[[#This Row],[Complaint_Date]],"MMM")</f>
        <v>Aug</v>
      </c>
      <c r="M1114" t="str">
        <f>IF(Table1[[#This Row],[Resolution_Time_Hours]]&lt;=24,"Fast",IF(Table1[[#This Row],[Resolution_Time_Hours]]&lt;=72,"Medium","Slow"))</f>
        <v>Fast</v>
      </c>
    </row>
    <row r="1115" spans="1:13" x14ac:dyDescent="0.3">
      <c r="A1115" t="s">
        <v>2613</v>
      </c>
      <c r="B1115" t="s">
        <v>2614</v>
      </c>
      <c r="C1115" t="s">
        <v>70</v>
      </c>
      <c r="D1115" t="s">
        <v>12</v>
      </c>
      <c r="E1115" s="2" t="s">
        <v>1773</v>
      </c>
      <c r="F1115">
        <v>20</v>
      </c>
      <c r="G1115" t="s">
        <v>14</v>
      </c>
      <c r="H1115" s="2" t="s">
        <v>2820</v>
      </c>
      <c r="J1115" t="str">
        <f>IF(Table1[[#This Row],[Resolution_Date]]="NA","Unresolved","Resolved")</f>
        <v>Unresolved</v>
      </c>
      <c r="K1115" t="str">
        <f>IF(Table1[[#This Row],[Resolution_Date]]="NA"," ",Table1[[#This Row],[Resolution_Date]]-Table1[[#This Row],[Complaint_Date]])</f>
        <v xml:space="preserve"> </v>
      </c>
      <c r="L1115" t="str">
        <f>TEXT(Table1[[#This Row],[Complaint_Date]],"MMM")</f>
        <v>Sep</v>
      </c>
      <c r="M1115" t="str">
        <f>IF(Table1[[#This Row],[Resolution_Time_Hours]]&lt;=24,"Fast",IF(Table1[[#This Row],[Resolution_Time_Hours]]&lt;=72,"Medium","Slow"))</f>
        <v>Fast</v>
      </c>
    </row>
    <row r="1116" spans="1:13" x14ac:dyDescent="0.3">
      <c r="A1116" t="s">
        <v>2615</v>
      </c>
      <c r="B1116" t="s">
        <v>2616</v>
      </c>
      <c r="C1116" t="s">
        <v>53</v>
      </c>
      <c r="D1116" t="s">
        <v>12</v>
      </c>
      <c r="E1116" s="2" t="s">
        <v>903</v>
      </c>
      <c r="F1116">
        <v>7</v>
      </c>
      <c r="G1116" t="s">
        <v>14</v>
      </c>
      <c r="H1116" s="2" t="s">
        <v>2820</v>
      </c>
      <c r="J1116" t="str">
        <f>IF(Table1[[#This Row],[Resolution_Date]]="NA","Unresolved","Resolved")</f>
        <v>Unresolved</v>
      </c>
      <c r="K1116" t="str">
        <f>IF(Table1[[#This Row],[Resolution_Date]]="NA"," ",Table1[[#This Row],[Resolution_Date]]-Table1[[#This Row],[Complaint_Date]])</f>
        <v xml:space="preserve"> </v>
      </c>
      <c r="L1116" t="str">
        <f>TEXT(Table1[[#This Row],[Complaint_Date]],"MMM")</f>
        <v>Feb</v>
      </c>
      <c r="M1116" t="str">
        <f>IF(Table1[[#This Row],[Resolution_Time_Hours]]&lt;=24,"Fast",IF(Table1[[#This Row],[Resolution_Time_Hours]]&lt;=72,"Medium","Slow"))</f>
        <v>Fast</v>
      </c>
    </row>
    <row r="1117" spans="1:13" x14ac:dyDescent="0.3">
      <c r="A1117" t="s">
        <v>2617</v>
      </c>
      <c r="B1117" t="s">
        <v>2618</v>
      </c>
      <c r="C1117" t="s">
        <v>34</v>
      </c>
      <c r="D1117" t="s">
        <v>12</v>
      </c>
      <c r="E1117" s="2" t="s">
        <v>1143</v>
      </c>
      <c r="F1117">
        <v>79</v>
      </c>
      <c r="G1117" t="s">
        <v>20</v>
      </c>
      <c r="H1117" s="2" t="s">
        <v>770</v>
      </c>
      <c r="I1117">
        <v>5</v>
      </c>
      <c r="J1117" t="str">
        <f>IF(Table1[[#This Row],[Resolution_Date]]="NA","Unresolved","Resolved")</f>
        <v>Resolved</v>
      </c>
      <c r="K1117">
        <f>IF(Table1[[#This Row],[Resolution_Date]]="NA"," ",Table1[[#This Row],[Resolution_Date]]-Table1[[#This Row],[Complaint_Date]])</f>
        <v>3</v>
      </c>
      <c r="L1117" t="str">
        <f>TEXT(Table1[[#This Row],[Complaint_Date]],"MMM")</f>
        <v>Jan</v>
      </c>
      <c r="M1117" t="str">
        <f>IF(Table1[[#This Row],[Resolution_Time_Hours]]&lt;=24,"Fast",IF(Table1[[#This Row],[Resolution_Time_Hours]]&lt;=72,"Medium","Slow"))</f>
        <v>Slow</v>
      </c>
    </row>
    <row r="1118" spans="1:13" x14ac:dyDescent="0.3">
      <c r="A1118" t="s">
        <v>2619</v>
      </c>
      <c r="B1118" t="s">
        <v>2620</v>
      </c>
      <c r="C1118" t="s">
        <v>48</v>
      </c>
      <c r="D1118" t="s">
        <v>12</v>
      </c>
      <c r="E1118" s="2" t="s">
        <v>192</v>
      </c>
      <c r="F1118">
        <v>10</v>
      </c>
      <c r="G1118" t="s">
        <v>20</v>
      </c>
      <c r="H1118" s="2" t="s">
        <v>192</v>
      </c>
      <c r="I1118">
        <v>4</v>
      </c>
      <c r="J1118" t="str">
        <f>IF(Table1[[#This Row],[Resolution_Date]]="NA","Unresolved","Resolved")</f>
        <v>Resolved</v>
      </c>
      <c r="K1118">
        <f>IF(Table1[[#This Row],[Resolution_Date]]="NA"," ",Table1[[#This Row],[Resolution_Date]]-Table1[[#This Row],[Complaint_Date]])</f>
        <v>0</v>
      </c>
      <c r="L1118" t="str">
        <f>TEXT(Table1[[#This Row],[Complaint_Date]],"MMM")</f>
        <v>Nov</v>
      </c>
      <c r="M1118" t="str">
        <f>IF(Table1[[#This Row],[Resolution_Time_Hours]]&lt;=24,"Fast",IF(Table1[[#This Row],[Resolution_Time_Hours]]&lt;=72,"Medium","Slow"))</f>
        <v>Fast</v>
      </c>
    </row>
    <row r="1119" spans="1:13" x14ac:dyDescent="0.3">
      <c r="A1119" t="s">
        <v>2621</v>
      </c>
      <c r="B1119" t="s">
        <v>2622</v>
      </c>
      <c r="C1119" t="s">
        <v>53</v>
      </c>
      <c r="D1119" t="s">
        <v>27</v>
      </c>
      <c r="E1119" s="2" t="s">
        <v>180</v>
      </c>
      <c r="F1119">
        <v>3</v>
      </c>
      <c r="G1119" t="s">
        <v>20</v>
      </c>
      <c r="H1119" s="2" t="s">
        <v>180</v>
      </c>
      <c r="I1119">
        <v>5</v>
      </c>
      <c r="J1119" t="str">
        <f>IF(Table1[[#This Row],[Resolution_Date]]="NA","Unresolved","Resolved")</f>
        <v>Resolved</v>
      </c>
      <c r="K1119">
        <f>IF(Table1[[#This Row],[Resolution_Date]]="NA"," ",Table1[[#This Row],[Resolution_Date]]-Table1[[#This Row],[Complaint_Date]])</f>
        <v>0</v>
      </c>
      <c r="L1119" t="str">
        <f>TEXT(Table1[[#This Row],[Complaint_Date]],"MMM")</f>
        <v>Apr</v>
      </c>
      <c r="M1119" t="str">
        <f>IF(Table1[[#This Row],[Resolution_Time_Hours]]&lt;=24,"Fast",IF(Table1[[#This Row],[Resolution_Time_Hours]]&lt;=72,"Medium","Slow"))</f>
        <v>Fast</v>
      </c>
    </row>
    <row r="1120" spans="1:13" x14ac:dyDescent="0.3">
      <c r="A1120" t="s">
        <v>2623</v>
      </c>
      <c r="B1120" t="s">
        <v>2624</v>
      </c>
      <c r="C1120" t="s">
        <v>70</v>
      </c>
      <c r="D1120" t="s">
        <v>27</v>
      </c>
      <c r="E1120" s="2" t="s">
        <v>64</v>
      </c>
      <c r="F1120">
        <v>9</v>
      </c>
      <c r="G1120" t="s">
        <v>20</v>
      </c>
      <c r="H1120" s="2" t="s">
        <v>64</v>
      </c>
      <c r="I1120">
        <v>4</v>
      </c>
      <c r="J1120" t="str">
        <f>IF(Table1[[#This Row],[Resolution_Date]]="NA","Unresolved","Resolved")</f>
        <v>Resolved</v>
      </c>
      <c r="K1120">
        <f>IF(Table1[[#This Row],[Resolution_Date]]="NA"," ",Table1[[#This Row],[Resolution_Date]]-Table1[[#This Row],[Complaint_Date]])</f>
        <v>0</v>
      </c>
      <c r="L1120" t="str">
        <f>TEXT(Table1[[#This Row],[Complaint_Date]],"MMM")</f>
        <v>Aug</v>
      </c>
      <c r="M1120" t="str">
        <f>IF(Table1[[#This Row],[Resolution_Time_Hours]]&lt;=24,"Fast",IF(Table1[[#This Row],[Resolution_Time_Hours]]&lt;=72,"Medium","Slow"))</f>
        <v>Fast</v>
      </c>
    </row>
    <row r="1121" spans="1:13" x14ac:dyDescent="0.3">
      <c r="A1121" t="s">
        <v>2625</v>
      </c>
      <c r="B1121" t="s">
        <v>2626</v>
      </c>
      <c r="C1121" t="s">
        <v>17</v>
      </c>
      <c r="D1121" t="s">
        <v>12</v>
      </c>
      <c r="E1121" s="2" t="s">
        <v>313</v>
      </c>
      <c r="F1121">
        <v>5</v>
      </c>
      <c r="G1121" t="s">
        <v>20</v>
      </c>
      <c r="H1121" s="2" t="s">
        <v>313</v>
      </c>
      <c r="I1121">
        <v>5</v>
      </c>
      <c r="J1121" t="str">
        <f>IF(Table1[[#This Row],[Resolution_Date]]="NA","Unresolved","Resolved")</f>
        <v>Resolved</v>
      </c>
      <c r="K1121">
        <f>IF(Table1[[#This Row],[Resolution_Date]]="NA"," ",Table1[[#This Row],[Resolution_Date]]-Table1[[#This Row],[Complaint_Date]])</f>
        <v>0</v>
      </c>
      <c r="L1121" t="str">
        <f>TEXT(Table1[[#This Row],[Complaint_Date]],"MMM")</f>
        <v>May</v>
      </c>
      <c r="M1121" t="str">
        <f>IF(Table1[[#This Row],[Resolution_Time_Hours]]&lt;=24,"Fast",IF(Table1[[#This Row],[Resolution_Time_Hours]]&lt;=72,"Medium","Slow"))</f>
        <v>Fast</v>
      </c>
    </row>
    <row r="1122" spans="1:13" x14ac:dyDescent="0.3">
      <c r="A1122" t="s">
        <v>2627</v>
      </c>
      <c r="B1122" t="s">
        <v>2628</v>
      </c>
      <c r="C1122" t="s">
        <v>11</v>
      </c>
      <c r="D1122" t="s">
        <v>27</v>
      </c>
      <c r="E1122" s="2" t="s">
        <v>1428</v>
      </c>
      <c r="F1122">
        <v>15</v>
      </c>
      <c r="G1122" t="s">
        <v>14</v>
      </c>
      <c r="H1122" s="2" t="s">
        <v>2820</v>
      </c>
      <c r="J1122" t="str">
        <f>IF(Table1[[#This Row],[Resolution_Date]]="NA","Unresolved","Resolved")</f>
        <v>Unresolved</v>
      </c>
      <c r="K1122" t="str">
        <f>IF(Table1[[#This Row],[Resolution_Date]]="NA"," ",Table1[[#This Row],[Resolution_Date]]-Table1[[#This Row],[Complaint_Date]])</f>
        <v xml:space="preserve"> </v>
      </c>
      <c r="L1122" t="str">
        <f>TEXT(Table1[[#This Row],[Complaint_Date]],"MMM")</f>
        <v>Jun</v>
      </c>
      <c r="M1122" t="str">
        <f>IF(Table1[[#This Row],[Resolution_Time_Hours]]&lt;=24,"Fast",IF(Table1[[#This Row],[Resolution_Time_Hours]]&lt;=72,"Medium","Slow"))</f>
        <v>Fast</v>
      </c>
    </row>
    <row r="1123" spans="1:13" x14ac:dyDescent="0.3">
      <c r="A1123" t="s">
        <v>2629</v>
      </c>
      <c r="B1123" t="s">
        <v>2630</v>
      </c>
      <c r="C1123" t="s">
        <v>110</v>
      </c>
      <c r="D1123" t="s">
        <v>12</v>
      </c>
      <c r="E1123" s="2" t="s">
        <v>449</v>
      </c>
      <c r="F1123">
        <v>23</v>
      </c>
      <c r="G1123" t="s">
        <v>20</v>
      </c>
      <c r="H1123" s="2" t="s">
        <v>449</v>
      </c>
      <c r="I1123">
        <v>3</v>
      </c>
      <c r="J1123" t="str">
        <f>IF(Table1[[#This Row],[Resolution_Date]]="NA","Unresolved","Resolved")</f>
        <v>Resolved</v>
      </c>
      <c r="K1123">
        <f>IF(Table1[[#This Row],[Resolution_Date]]="NA"," ",Table1[[#This Row],[Resolution_Date]]-Table1[[#This Row],[Complaint_Date]])</f>
        <v>0</v>
      </c>
      <c r="L1123" t="str">
        <f>TEXT(Table1[[#This Row],[Complaint_Date]],"MMM")</f>
        <v>Jun</v>
      </c>
      <c r="M1123" t="str">
        <f>IF(Table1[[#This Row],[Resolution_Time_Hours]]&lt;=24,"Fast",IF(Table1[[#This Row],[Resolution_Time_Hours]]&lt;=72,"Medium","Slow"))</f>
        <v>Fast</v>
      </c>
    </row>
    <row r="1124" spans="1:13" x14ac:dyDescent="0.3">
      <c r="A1124" t="s">
        <v>2631</v>
      </c>
      <c r="B1124" t="s">
        <v>2632</v>
      </c>
      <c r="C1124" t="s">
        <v>48</v>
      </c>
      <c r="D1124" t="s">
        <v>38</v>
      </c>
      <c r="E1124" s="2" t="s">
        <v>1146</v>
      </c>
      <c r="F1124">
        <v>42</v>
      </c>
      <c r="G1124" t="s">
        <v>20</v>
      </c>
      <c r="H1124" s="2" t="s">
        <v>440</v>
      </c>
      <c r="I1124">
        <v>2</v>
      </c>
      <c r="J1124" t="str">
        <f>IF(Table1[[#This Row],[Resolution_Date]]="NA","Unresolved","Resolved")</f>
        <v>Resolved</v>
      </c>
      <c r="K1124">
        <f>IF(Table1[[#This Row],[Resolution_Date]]="NA"," ",Table1[[#This Row],[Resolution_Date]]-Table1[[#This Row],[Complaint_Date]])</f>
        <v>1</v>
      </c>
      <c r="L1124" t="str">
        <f>TEXT(Table1[[#This Row],[Complaint_Date]],"MMM")</f>
        <v>Sep</v>
      </c>
      <c r="M1124" t="str">
        <f>IF(Table1[[#This Row],[Resolution_Time_Hours]]&lt;=24,"Fast",IF(Table1[[#This Row],[Resolution_Time_Hours]]&lt;=72,"Medium","Slow"))</f>
        <v>Medium</v>
      </c>
    </row>
    <row r="1125" spans="1:13" x14ac:dyDescent="0.3">
      <c r="A1125" t="s">
        <v>2633</v>
      </c>
      <c r="B1125" t="s">
        <v>2634</v>
      </c>
      <c r="C1125" t="s">
        <v>34</v>
      </c>
      <c r="D1125" t="s">
        <v>27</v>
      </c>
      <c r="E1125" s="2" t="s">
        <v>1109</v>
      </c>
      <c r="F1125">
        <v>74</v>
      </c>
      <c r="G1125" t="s">
        <v>40</v>
      </c>
      <c r="H1125" s="2" t="s">
        <v>2820</v>
      </c>
      <c r="J1125" t="str">
        <f>IF(Table1[[#This Row],[Resolution_Date]]="NA","Unresolved","Resolved")</f>
        <v>Unresolved</v>
      </c>
      <c r="K1125" t="str">
        <f>IF(Table1[[#This Row],[Resolution_Date]]="NA"," ",Table1[[#This Row],[Resolution_Date]]-Table1[[#This Row],[Complaint_Date]])</f>
        <v xml:space="preserve"> </v>
      </c>
      <c r="L1125" t="str">
        <f>TEXT(Table1[[#This Row],[Complaint_Date]],"MMM")</f>
        <v>Sep</v>
      </c>
      <c r="M1125" t="str">
        <f>IF(Table1[[#This Row],[Resolution_Time_Hours]]&lt;=24,"Fast",IF(Table1[[#This Row],[Resolution_Time_Hours]]&lt;=72,"Medium","Slow"))</f>
        <v>Slow</v>
      </c>
    </row>
    <row r="1126" spans="1:13" x14ac:dyDescent="0.3">
      <c r="A1126" t="s">
        <v>2635</v>
      </c>
      <c r="B1126" t="s">
        <v>2636</v>
      </c>
      <c r="C1126" t="s">
        <v>43</v>
      </c>
      <c r="D1126" t="s">
        <v>95</v>
      </c>
      <c r="E1126" s="2" t="s">
        <v>2637</v>
      </c>
      <c r="F1126">
        <v>33</v>
      </c>
      <c r="G1126" t="s">
        <v>40</v>
      </c>
      <c r="H1126" s="2" t="s">
        <v>2820</v>
      </c>
      <c r="J1126" t="str">
        <f>IF(Table1[[#This Row],[Resolution_Date]]="NA","Unresolved","Resolved")</f>
        <v>Unresolved</v>
      </c>
      <c r="K1126" t="str">
        <f>IF(Table1[[#This Row],[Resolution_Date]]="NA"," ",Table1[[#This Row],[Resolution_Date]]-Table1[[#This Row],[Complaint_Date]])</f>
        <v xml:space="preserve"> </v>
      </c>
      <c r="L1126" t="str">
        <f>TEXT(Table1[[#This Row],[Complaint_Date]],"MMM")</f>
        <v>May</v>
      </c>
      <c r="M1126" t="str">
        <f>IF(Table1[[#This Row],[Resolution_Time_Hours]]&lt;=24,"Fast",IF(Table1[[#This Row],[Resolution_Time_Hours]]&lt;=72,"Medium","Slow"))</f>
        <v>Medium</v>
      </c>
    </row>
    <row r="1127" spans="1:13" x14ac:dyDescent="0.3">
      <c r="A1127" t="s">
        <v>2638</v>
      </c>
      <c r="B1127" t="s">
        <v>2639</v>
      </c>
      <c r="C1127" t="s">
        <v>11</v>
      </c>
      <c r="D1127" t="s">
        <v>12</v>
      </c>
      <c r="E1127" s="2" t="s">
        <v>663</v>
      </c>
      <c r="F1127">
        <v>22</v>
      </c>
      <c r="G1127" t="s">
        <v>20</v>
      </c>
      <c r="H1127" s="2" t="s">
        <v>663</v>
      </c>
      <c r="I1127">
        <v>3</v>
      </c>
      <c r="J1127" t="str">
        <f>IF(Table1[[#This Row],[Resolution_Date]]="NA","Unresolved","Resolved")</f>
        <v>Resolved</v>
      </c>
      <c r="K1127">
        <f>IF(Table1[[#This Row],[Resolution_Date]]="NA"," ",Table1[[#This Row],[Resolution_Date]]-Table1[[#This Row],[Complaint_Date]])</f>
        <v>0</v>
      </c>
      <c r="L1127" t="str">
        <f>TEXT(Table1[[#This Row],[Complaint_Date]],"MMM")</f>
        <v>Nov</v>
      </c>
      <c r="M1127" t="str">
        <f>IF(Table1[[#This Row],[Resolution_Time_Hours]]&lt;=24,"Fast",IF(Table1[[#This Row],[Resolution_Time_Hours]]&lt;=72,"Medium","Slow"))</f>
        <v>Fast</v>
      </c>
    </row>
    <row r="1128" spans="1:13" x14ac:dyDescent="0.3">
      <c r="A1128" t="s">
        <v>2640</v>
      </c>
      <c r="B1128" t="s">
        <v>2641</v>
      </c>
      <c r="C1128" t="s">
        <v>11</v>
      </c>
      <c r="D1128" t="s">
        <v>27</v>
      </c>
      <c r="E1128" s="2" t="s">
        <v>143</v>
      </c>
      <c r="F1128">
        <v>13</v>
      </c>
      <c r="G1128" t="s">
        <v>20</v>
      </c>
      <c r="H1128" s="2" t="s">
        <v>143</v>
      </c>
      <c r="I1128">
        <v>3</v>
      </c>
      <c r="J1128" t="str">
        <f>IF(Table1[[#This Row],[Resolution_Date]]="NA","Unresolved","Resolved")</f>
        <v>Resolved</v>
      </c>
      <c r="K1128">
        <f>IF(Table1[[#This Row],[Resolution_Date]]="NA"," ",Table1[[#This Row],[Resolution_Date]]-Table1[[#This Row],[Complaint_Date]])</f>
        <v>0</v>
      </c>
      <c r="L1128" t="str">
        <f>TEXT(Table1[[#This Row],[Complaint_Date]],"MMM")</f>
        <v>Jan</v>
      </c>
      <c r="M1128" t="str">
        <f>IF(Table1[[#This Row],[Resolution_Time_Hours]]&lt;=24,"Fast",IF(Table1[[#This Row],[Resolution_Time_Hours]]&lt;=72,"Medium","Slow"))</f>
        <v>Fast</v>
      </c>
    </row>
    <row r="1129" spans="1:13" x14ac:dyDescent="0.3">
      <c r="A1129" t="s">
        <v>2642</v>
      </c>
      <c r="B1129" t="s">
        <v>2643</v>
      </c>
      <c r="C1129" t="s">
        <v>34</v>
      </c>
      <c r="D1129" t="s">
        <v>12</v>
      </c>
      <c r="E1129" s="2" t="s">
        <v>330</v>
      </c>
      <c r="F1129">
        <v>87</v>
      </c>
      <c r="G1129" t="s">
        <v>20</v>
      </c>
      <c r="H1129" s="2" t="s">
        <v>1288</v>
      </c>
      <c r="I1129">
        <v>1</v>
      </c>
      <c r="J1129" t="str">
        <f>IF(Table1[[#This Row],[Resolution_Date]]="NA","Unresolved","Resolved")</f>
        <v>Resolved</v>
      </c>
      <c r="K1129">
        <f>IF(Table1[[#This Row],[Resolution_Date]]="NA"," ",Table1[[#This Row],[Resolution_Date]]-Table1[[#This Row],[Complaint_Date]])</f>
        <v>3</v>
      </c>
      <c r="L1129" t="str">
        <f>TEXT(Table1[[#This Row],[Complaint_Date]],"MMM")</f>
        <v>Nov</v>
      </c>
      <c r="M1129" t="str">
        <f>IF(Table1[[#This Row],[Resolution_Time_Hours]]&lt;=24,"Fast",IF(Table1[[#This Row],[Resolution_Time_Hours]]&lt;=72,"Medium","Slow"))</f>
        <v>Slow</v>
      </c>
    </row>
    <row r="1130" spans="1:13" x14ac:dyDescent="0.3">
      <c r="A1130" t="s">
        <v>2644</v>
      </c>
      <c r="B1130" t="s">
        <v>2645</v>
      </c>
      <c r="C1130" t="s">
        <v>110</v>
      </c>
      <c r="D1130" t="s">
        <v>38</v>
      </c>
      <c r="E1130" s="2" t="s">
        <v>511</v>
      </c>
      <c r="F1130">
        <v>9</v>
      </c>
      <c r="G1130" t="s">
        <v>20</v>
      </c>
      <c r="H1130" s="2" t="s">
        <v>511</v>
      </c>
      <c r="I1130">
        <v>4</v>
      </c>
      <c r="J1130" t="str">
        <f>IF(Table1[[#This Row],[Resolution_Date]]="NA","Unresolved","Resolved")</f>
        <v>Resolved</v>
      </c>
      <c r="K1130">
        <f>IF(Table1[[#This Row],[Resolution_Date]]="NA"," ",Table1[[#This Row],[Resolution_Date]]-Table1[[#This Row],[Complaint_Date]])</f>
        <v>0</v>
      </c>
      <c r="L1130" t="str">
        <f>TEXT(Table1[[#This Row],[Complaint_Date]],"MMM")</f>
        <v>Jul</v>
      </c>
      <c r="M1130" t="str">
        <f>IF(Table1[[#This Row],[Resolution_Time_Hours]]&lt;=24,"Fast",IF(Table1[[#This Row],[Resolution_Time_Hours]]&lt;=72,"Medium","Slow"))</f>
        <v>Fast</v>
      </c>
    </row>
    <row r="1131" spans="1:13" x14ac:dyDescent="0.3">
      <c r="A1131" t="s">
        <v>2646</v>
      </c>
      <c r="B1131" t="s">
        <v>2647</v>
      </c>
      <c r="C1131" t="s">
        <v>43</v>
      </c>
      <c r="D1131" t="s">
        <v>12</v>
      </c>
      <c r="E1131" s="2" t="s">
        <v>2648</v>
      </c>
      <c r="F1131">
        <v>30</v>
      </c>
      <c r="G1131" t="s">
        <v>14</v>
      </c>
      <c r="H1131" s="2" t="s">
        <v>2820</v>
      </c>
      <c r="J1131" t="str">
        <f>IF(Table1[[#This Row],[Resolution_Date]]="NA","Unresolved","Resolved")</f>
        <v>Unresolved</v>
      </c>
      <c r="K1131" t="str">
        <f>IF(Table1[[#This Row],[Resolution_Date]]="NA"," ",Table1[[#This Row],[Resolution_Date]]-Table1[[#This Row],[Complaint_Date]])</f>
        <v xml:space="preserve"> </v>
      </c>
      <c r="L1131" t="str">
        <f>TEXT(Table1[[#This Row],[Complaint_Date]],"MMM")</f>
        <v>Jul</v>
      </c>
      <c r="M1131" t="str">
        <f>IF(Table1[[#This Row],[Resolution_Time_Hours]]&lt;=24,"Fast",IF(Table1[[#This Row],[Resolution_Time_Hours]]&lt;=72,"Medium","Slow"))</f>
        <v>Medium</v>
      </c>
    </row>
    <row r="1132" spans="1:13" x14ac:dyDescent="0.3">
      <c r="A1132" t="s">
        <v>2649</v>
      </c>
      <c r="B1132" t="s">
        <v>2650</v>
      </c>
      <c r="C1132" t="s">
        <v>34</v>
      </c>
      <c r="D1132" t="s">
        <v>38</v>
      </c>
      <c r="E1132" s="2" t="s">
        <v>750</v>
      </c>
      <c r="F1132">
        <v>55</v>
      </c>
      <c r="G1132" t="s">
        <v>40</v>
      </c>
      <c r="H1132" s="2" t="s">
        <v>2820</v>
      </c>
      <c r="J1132" t="str">
        <f>IF(Table1[[#This Row],[Resolution_Date]]="NA","Unresolved","Resolved")</f>
        <v>Unresolved</v>
      </c>
      <c r="K1132" t="str">
        <f>IF(Table1[[#This Row],[Resolution_Date]]="NA"," ",Table1[[#This Row],[Resolution_Date]]-Table1[[#This Row],[Complaint_Date]])</f>
        <v xml:space="preserve"> </v>
      </c>
      <c r="L1132" t="str">
        <f>TEXT(Table1[[#This Row],[Complaint_Date]],"MMM")</f>
        <v>Mar</v>
      </c>
      <c r="M1132" t="str">
        <f>IF(Table1[[#This Row],[Resolution_Time_Hours]]&lt;=24,"Fast",IF(Table1[[#This Row],[Resolution_Time_Hours]]&lt;=72,"Medium","Slow"))</f>
        <v>Medium</v>
      </c>
    </row>
    <row r="1133" spans="1:13" x14ac:dyDescent="0.3">
      <c r="A1133" t="s">
        <v>2651</v>
      </c>
      <c r="B1133" t="s">
        <v>2652</v>
      </c>
      <c r="C1133" t="s">
        <v>48</v>
      </c>
      <c r="D1133" t="s">
        <v>12</v>
      </c>
      <c r="E1133" s="2" t="s">
        <v>643</v>
      </c>
      <c r="F1133">
        <v>10</v>
      </c>
      <c r="G1133" t="s">
        <v>20</v>
      </c>
      <c r="H1133" s="2" t="s">
        <v>643</v>
      </c>
      <c r="I1133">
        <v>4</v>
      </c>
      <c r="J1133" t="str">
        <f>IF(Table1[[#This Row],[Resolution_Date]]="NA","Unresolved","Resolved")</f>
        <v>Resolved</v>
      </c>
      <c r="K1133">
        <f>IF(Table1[[#This Row],[Resolution_Date]]="NA"," ",Table1[[#This Row],[Resolution_Date]]-Table1[[#This Row],[Complaint_Date]])</f>
        <v>0</v>
      </c>
      <c r="L1133" t="str">
        <f>TEXT(Table1[[#This Row],[Complaint_Date]],"MMM")</f>
        <v>Sep</v>
      </c>
      <c r="M1133" t="str">
        <f>IF(Table1[[#This Row],[Resolution_Time_Hours]]&lt;=24,"Fast",IF(Table1[[#This Row],[Resolution_Time_Hours]]&lt;=72,"Medium","Slow"))</f>
        <v>Fast</v>
      </c>
    </row>
    <row r="1134" spans="1:13" x14ac:dyDescent="0.3">
      <c r="A1134" t="s">
        <v>2653</v>
      </c>
      <c r="B1134" t="s">
        <v>2654</v>
      </c>
      <c r="C1134" t="s">
        <v>34</v>
      </c>
      <c r="D1134" t="s">
        <v>18</v>
      </c>
      <c r="E1134" s="2" t="s">
        <v>2655</v>
      </c>
      <c r="F1134">
        <v>53</v>
      </c>
      <c r="G1134" t="s">
        <v>20</v>
      </c>
      <c r="H1134" s="2" t="s">
        <v>1109</v>
      </c>
      <c r="I1134">
        <v>1</v>
      </c>
      <c r="J1134" t="str">
        <f>IF(Table1[[#This Row],[Resolution_Date]]="NA","Unresolved","Resolved")</f>
        <v>Resolved</v>
      </c>
      <c r="K1134">
        <f>IF(Table1[[#This Row],[Resolution_Date]]="NA"," ",Table1[[#This Row],[Resolution_Date]]-Table1[[#This Row],[Complaint_Date]])</f>
        <v>2</v>
      </c>
      <c r="L1134" t="str">
        <f>TEXT(Table1[[#This Row],[Complaint_Date]],"MMM")</f>
        <v>Sep</v>
      </c>
      <c r="M1134" t="str">
        <f>IF(Table1[[#This Row],[Resolution_Time_Hours]]&lt;=24,"Fast",IF(Table1[[#This Row],[Resolution_Time_Hours]]&lt;=72,"Medium","Slow"))</f>
        <v>Medium</v>
      </c>
    </row>
    <row r="1135" spans="1:13" x14ac:dyDescent="0.3">
      <c r="A1135" t="s">
        <v>2656</v>
      </c>
      <c r="B1135" t="s">
        <v>2657</v>
      </c>
      <c r="C1135" t="s">
        <v>17</v>
      </c>
      <c r="D1135" t="s">
        <v>18</v>
      </c>
      <c r="E1135" s="2" t="s">
        <v>446</v>
      </c>
      <c r="F1135">
        <v>33</v>
      </c>
      <c r="G1135" t="s">
        <v>20</v>
      </c>
      <c r="H1135" s="2" t="s">
        <v>350</v>
      </c>
      <c r="I1135">
        <v>2</v>
      </c>
      <c r="J1135" t="str">
        <f>IF(Table1[[#This Row],[Resolution_Date]]="NA","Unresolved","Resolved")</f>
        <v>Resolved</v>
      </c>
      <c r="K1135">
        <f>IF(Table1[[#This Row],[Resolution_Date]]="NA"," ",Table1[[#This Row],[Resolution_Date]]-Table1[[#This Row],[Complaint_Date]])</f>
        <v>1</v>
      </c>
      <c r="L1135" t="str">
        <f>TEXT(Table1[[#This Row],[Complaint_Date]],"MMM")</f>
        <v>Nov</v>
      </c>
      <c r="M1135" t="str">
        <f>IF(Table1[[#This Row],[Resolution_Time_Hours]]&lt;=24,"Fast",IF(Table1[[#This Row],[Resolution_Time_Hours]]&lt;=72,"Medium","Slow"))</f>
        <v>Medium</v>
      </c>
    </row>
    <row r="1136" spans="1:13" x14ac:dyDescent="0.3">
      <c r="A1136" t="s">
        <v>2658</v>
      </c>
      <c r="B1136" t="s">
        <v>2659</v>
      </c>
      <c r="C1136" t="s">
        <v>43</v>
      </c>
      <c r="D1136" t="s">
        <v>38</v>
      </c>
      <c r="E1136" s="2" t="s">
        <v>408</v>
      </c>
      <c r="F1136">
        <v>41</v>
      </c>
      <c r="G1136" t="s">
        <v>40</v>
      </c>
      <c r="H1136" s="2" t="s">
        <v>2820</v>
      </c>
      <c r="J1136" t="str">
        <f>IF(Table1[[#This Row],[Resolution_Date]]="NA","Unresolved","Resolved")</f>
        <v>Unresolved</v>
      </c>
      <c r="K1136" t="str">
        <f>IF(Table1[[#This Row],[Resolution_Date]]="NA"," ",Table1[[#This Row],[Resolution_Date]]-Table1[[#This Row],[Complaint_Date]])</f>
        <v xml:space="preserve"> </v>
      </c>
      <c r="L1136" t="str">
        <f>TEXT(Table1[[#This Row],[Complaint_Date]],"MMM")</f>
        <v>Jul</v>
      </c>
      <c r="M1136" t="str">
        <f>IF(Table1[[#This Row],[Resolution_Time_Hours]]&lt;=24,"Fast",IF(Table1[[#This Row],[Resolution_Time_Hours]]&lt;=72,"Medium","Slow"))</f>
        <v>Medium</v>
      </c>
    </row>
    <row r="1137" spans="1:13" x14ac:dyDescent="0.3">
      <c r="A1137" t="s">
        <v>2660</v>
      </c>
      <c r="B1137" t="s">
        <v>2661</v>
      </c>
      <c r="C1137" t="s">
        <v>43</v>
      </c>
      <c r="D1137" t="s">
        <v>95</v>
      </c>
      <c r="E1137" s="2" t="s">
        <v>1457</v>
      </c>
      <c r="F1137">
        <v>69</v>
      </c>
      <c r="G1137" t="s">
        <v>20</v>
      </c>
      <c r="H1137" s="2" t="s">
        <v>318</v>
      </c>
      <c r="I1137">
        <v>1</v>
      </c>
      <c r="J1137" t="str">
        <f>IF(Table1[[#This Row],[Resolution_Date]]="NA","Unresolved","Resolved")</f>
        <v>Resolved</v>
      </c>
      <c r="K1137">
        <f>IF(Table1[[#This Row],[Resolution_Date]]="NA"," ",Table1[[#This Row],[Resolution_Date]]-Table1[[#This Row],[Complaint_Date]])</f>
        <v>2</v>
      </c>
      <c r="L1137" t="str">
        <f>TEXT(Table1[[#This Row],[Complaint_Date]],"MMM")</f>
        <v>Feb</v>
      </c>
      <c r="M1137" t="str">
        <f>IF(Table1[[#This Row],[Resolution_Time_Hours]]&lt;=24,"Fast",IF(Table1[[#This Row],[Resolution_Time_Hours]]&lt;=72,"Medium","Slow"))</f>
        <v>Medium</v>
      </c>
    </row>
    <row r="1138" spans="1:13" x14ac:dyDescent="0.3">
      <c r="A1138" t="s">
        <v>2662</v>
      </c>
      <c r="B1138" t="s">
        <v>2663</v>
      </c>
      <c r="C1138" t="s">
        <v>17</v>
      </c>
      <c r="D1138" t="s">
        <v>27</v>
      </c>
      <c r="E1138" s="2" t="s">
        <v>738</v>
      </c>
      <c r="F1138">
        <v>31</v>
      </c>
      <c r="G1138" t="s">
        <v>20</v>
      </c>
      <c r="H1138" s="2" t="s">
        <v>903</v>
      </c>
      <c r="I1138">
        <v>2</v>
      </c>
      <c r="J1138" t="str">
        <f>IF(Table1[[#This Row],[Resolution_Date]]="NA","Unresolved","Resolved")</f>
        <v>Resolved</v>
      </c>
      <c r="K1138">
        <f>IF(Table1[[#This Row],[Resolution_Date]]="NA"," ",Table1[[#This Row],[Resolution_Date]]-Table1[[#This Row],[Complaint_Date]])</f>
        <v>1</v>
      </c>
      <c r="L1138" t="str">
        <f>TEXT(Table1[[#This Row],[Complaint_Date]],"MMM")</f>
        <v>Feb</v>
      </c>
      <c r="M1138" t="str">
        <f>IF(Table1[[#This Row],[Resolution_Time_Hours]]&lt;=24,"Fast",IF(Table1[[#This Row],[Resolution_Time_Hours]]&lt;=72,"Medium","Slow"))</f>
        <v>Medium</v>
      </c>
    </row>
    <row r="1139" spans="1:13" x14ac:dyDescent="0.3">
      <c r="A1139" t="s">
        <v>2664</v>
      </c>
      <c r="B1139" t="s">
        <v>2665</v>
      </c>
      <c r="C1139" t="s">
        <v>17</v>
      </c>
      <c r="D1139" t="s">
        <v>95</v>
      </c>
      <c r="E1139" s="2" t="s">
        <v>614</v>
      </c>
      <c r="F1139">
        <v>19</v>
      </c>
      <c r="G1139" t="s">
        <v>20</v>
      </c>
      <c r="H1139" s="2" t="s">
        <v>614</v>
      </c>
      <c r="I1139">
        <v>3</v>
      </c>
      <c r="J1139" t="str">
        <f>IF(Table1[[#This Row],[Resolution_Date]]="NA","Unresolved","Resolved")</f>
        <v>Resolved</v>
      </c>
      <c r="K1139">
        <f>IF(Table1[[#This Row],[Resolution_Date]]="NA"," ",Table1[[#This Row],[Resolution_Date]]-Table1[[#This Row],[Complaint_Date]])</f>
        <v>0</v>
      </c>
      <c r="L1139" t="str">
        <f>TEXT(Table1[[#This Row],[Complaint_Date]],"MMM")</f>
        <v>Aug</v>
      </c>
      <c r="M1139" t="str">
        <f>IF(Table1[[#This Row],[Resolution_Time_Hours]]&lt;=24,"Fast",IF(Table1[[#This Row],[Resolution_Time_Hours]]&lt;=72,"Medium","Slow"))</f>
        <v>Fast</v>
      </c>
    </row>
    <row r="1140" spans="1:13" x14ac:dyDescent="0.3">
      <c r="A1140" t="s">
        <v>2666</v>
      </c>
      <c r="B1140" t="s">
        <v>2667</v>
      </c>
      <c r="C1140" t="s">
        <v>53</v>
      </c>
      <c r="D1140" t="s">
        <v>27</v>
      </c>
      <c r="E1140" s="2" t="s">
        <v>1479</v>
      </c>
      <c r="F1140">
        <v>12</v>
      </c>
      <c r="G1140" t="s">
        <v>20</v>
      </c>
      <c r="H1140" s="2" t="s">
        <v>1479</v>
      </c>
      <c r="I1140">
        <v>4</v>
      </c>
      <c r="J1140" t="str">
        <f>IF(Table1[[#This Row],[Resolution_Date]]="NA","Unresolved","Resolved")</f>
        <v>Resolved</v>
      </c>
      <c r="K1140">
        <f>IF(Table1[[#This Row],[Resolution_Date]]="NA"," ",Table1[[#This Row],[Resolution_Date]]-Table1[[#This Row],[Complaint_Date]])</f>
        <v>0</v>
      </c>
      <c r="L1140" t="str">
        <f>TEXT(Table1[[#This Row],[Complaint_Date]],"MMM")</f>
        <v>Jun</v>
      </c>
      <c r="M1140" t="str">
        <f>IF(Table1[[#This Row],[Resolution_Time_Hours]]&lt;=24,"Fast",IF(Table1[[#This Row],[Resolution_Time_Hours]]&lt;=72,"Medium","Slow"))</f>
        <v>Fast</v>
      </c>
    </row>
    <row r="1141" spans="1:13" x14ac:dyDescent="0.3">
      <c r="A1141" t="s">
        <v>2668</v>
      </c>
      <c r="B1141" t="s">
        <v>2669</v>
      </c>
      <c r="C1141" t="s">
        <v>17</v>
      </c>
      <c r="D1141" t="s">
        <v>95</v>
      </c>
      <c r="E1141" s="2" t="s">
        <v>133</v>
      </c>
      <c r="F1141">
        <v>33</v>
      </c>
      <c r="G1141" t="s">
        <v>40</v>
      </c>
      <c r="H1141" s="2" t="s">
        <v>2820</v>
      </c>
      <c r="J1141" t="str">
        <f>IF(Table1[[#This Row],[Resolution_Date]]="NA","Unresolved","Resolved")</f>
        <v>Unresolved</v>
      </c>
      <c r="K1141" t="str">
        <f>IF(Table1[[#This Row],[Resolution_Date]]="NA"," ",Table1[[#This Row],[Resolution_Date]]-Table1[[#This Row],[Complaint_Date]])</f>
        <v xml:space="preserve"> </v>
      </c>
      <c r="L1141" t="str">
        <f>TEXT(Table1[[#This Row],[Complaint_Date]],"MMM")</f>
        <v>Jun</v>
      </c>
      <c r="M1141" t="str">
        <f>IF(Table1[[#This Row],[Resolution_Time_Hours]]&lt;=24,"Fast",IF(Table1[[#This Row],[Resolution_Time_Hours]]&lt;=72,"Medium","Slow"))</f>
        <v>Medium</v>
      </c>
    </row>
    <row r="1142" spans="1:13" x14ac:dyDescent="0.3">
      <c r="A1142" t="s">
        <v>2670</v>
      </c>
      <c r="B1142" t="s">
        <v>2671</v>
      </c>
      <c r="C1142" t="s">
        <v>70</v>
      </c>
      <c r="D1142" t="s">
        <v>18</v>
      </c>
      <c r="E1142" s="2" t="s">
        <v>676</v>
      </c>
      <c r="F1142">
        <v>18</v>
      </c>
      <c r="G1142" t="s">
        <v>20</v>
      </c>
      <c r="H1142" s="2" t="s">
        <v>676</v>
      </c>
      <c r="I1142">
        <v>3</v>
      </c>
      <c r="J1142" t="str">
        <f>IF(Table1[[#This Row],[Resolution_Date]]="NA","Unresolved","Resolved")</f>
        <v>Resolved</v>
      </c>
      <c r="K1142">
        <f>IF(Table1[[#This Row],[Resolution_Date]]="NA"," ",Table1[[#This Row],[Resolution_Date]]-Table1[[#This Row],[Complaint_Date]])</f>
        <v>0</v>
      </c>
      <c r="L1142" t="str">
        <f>TEXT(Table1[[#This Row],[Complaint_Date]],"MMM")</f>
        <v>Mar</v>
      </c>
      <c r="M1142" t="str">
        <f>IF(Table1[[#This Row],[Resolution_Time_Hours]]&lt;=24,"Fast",IF(Table1[[#This Row],[Resolution_Time_Hours]]&lt;=72,"Medium","Slow"))</f>
        <v>Fast</v>
      </c>
    </row>
    <row r="1143" spans="1:13" x14ac:dyDescent="0.3">
      <c r="A1143" t="s">
        <v>2672</v>
      </c>
      <c r="B1143" t="s">
        <v>2673</v>
      </c>
      <c r="C1143" t="s">
        <v>17</v>
      </c>
      <c r="D1143" t="s">
        <v>18</v>
      </c>
      <c r="E1143" s="2" t="s">
        <v>903</v>
      </c>
      <c r="F1143">
        <v>21</v>
      </c>
      <c r="G1143" t="s">
        <v>20</v>
      </c>
      <c r="H1143" s="2" t="s">
        <v>903</v>
      </c>
      <c r="I1143">
        <v>3</v>
      </c>
      <c r="J1143" t="str">
        <f>IF(Table1[[#This Row],[Resolution_Date]]="NA","Unresolved","Resolved")</f>
        <v>Resolved</v>
      </c>
      <c r="K1143">
        <f>IF(Table1[[#This Row],[Resolution_Date]]="NA"," ",Table1[[#This Row],[Resolution_Date]]-Table1[[#This Row],[Complaint_Date]])</f>
        <v>0</v>
      </c>
      <c r="L1143" t="str">
        <f>TEXT(Table1[[#This Row],[Complaint_Date]],"MMM")</f>
        <v>Feb</v>
      </c>
      <c r="M1143" t="str">
        <f>IF(Table1[[#This Row],[Resolution_Time_Hours]]&lt;=24,"Fast",IF(Table1[[#This Row],[Resolution_Time_Hours]]&lt;=72,"Medium","Slow"))</f>
        <v>Fast</v>
      </c>
    </row>
    <row r="1144" spans="1:13" x14ac:dyDescent="0.3">
      <c r="A1144" t="s">
        <v>2674</v>
      </c>
      <c r="B1144" t="s">
        <v>2675</v>
      </c>
      <c r="C1144" t="s">
        <v>43</v>
      </c>
      <c r="D1144" t="s">
        <v>27</v>
      </c>
      <c r="E1144" s="2" t="s">
        <v>995</v>
      </c>
      <c r="F1144">
        <v>40</v>
      </c>
      <c r="G1144" t="s">
        <v>14</v>
      </c>
      <c r="H1144" s="2" t="s">
        <v>2820</v>
      </c>
      <c r="J1144" t="str">
        <f>IF(Table1[[#This Row],[Resolution_Date]]="NA","Unresolved","Resolved")</f>
        <v>Unresolved</v>
      </c>
      <c r="K1144" t="str">
        <f>IF(Table1[[#This Row],[Resolution_Date]]="NA"," ",Table1[[#This Row],[Resolution_Date]]-Table1[[#This Row],[Complaint_Date]])</f>
        <v xml:space="preserve"> </v>
      </c>
      <c r="L1144" t="str">
        <f>TEXT(Table1[[#This Row],[Complaint_Date]],"MMM")</f>
        <v>Dec</v>
      </c>
      <c r="M1144" t="str">
        <f>IF(Table1[[#This Row],[Resolution_Time_Hours]]&lt;=24,"Fast",IF(Table1[[#This Row],[Resolution_Time_Hours]]&lt;=72,"Medium","Slow"))</f>
        <v>Medium</v>
      </c>
    </row>
    <row r="1145" spans="1:13" x14ac:dyDescent="0.3">
      <c r="A1145" t="s">
        <v>2676</v>
      </c>
      <c r="B1145" t="s">
        <v>2677</v>
      </c>
      <c r="C1145" t="s">
        <v>34</v>
      </c>
      <c r="D1145" t="s">
        <v>95</v>
      </c>
      <c r="E1145" s="2" t="s">
        <v>261</v>
      </c>
      <c r="F1145">
        <v>39</v>
      </c>
      <c r="G1145" t="s">
        <v>20</v>
      </c>
      <c r="H1145" s="2" t="s">
        <v>296</v>
      </c>
      <c r="I1145">
        <v>2</v>
      </c>
      <c r="J1145" t="str">
        <f>IF(Table1[[#This Row],[Resolution_Date]]="NA","Unresolved","Resolved")</f>
        <v>Resolved</v>
      </c>
      <c r="K1145">
        <f>IF(Table1[[#This Row],[Resolution_Date]]="NA"," ",Table1[[#This Row],[Resolution_Date]]-Table1[[#This Row],[Complaint_Date]])</f>
        <v>1</v>
      </c>
      <c r="L1145" t="str">
        <f>TEXT(Table1[[#This Row],[Complaint_Date]],"MMM")</f>
        <v>Mar</v>
      </c>
      <c r="M1145" t="str">
        <f>IF(Table1[[#This Row],[Resolution_Time_Hours]]&lt;=24,"Fast",IF(Table1[[#This Row],[Resolution_Time_Hours]]&lt;=72,"Medium","Slow"))</f>
        <v>Medium</v>
      </c>
    </row>
    <row r="1146" spans="1:13" x14ac:dyDescent="0.3">
      <c r="A1146" t="s">
        <v>2678</v>
      </c>
      <c r="B1146" t="s">
        <v>2679</v>
      </c>
      <c r="C1146" t="s">
        <v>43</v>
      </c>
      <c r="D1146" t="s">
        <v>95</v>
      </c>
      <c r="E1146" s="2" t="s">
        <v>201</v>
      </c>
      <c r="F1146">
        <v>26</v>
      </c>
      <c r="G1146" t="s">
        <v>40</v>
      </c>
      <c r="H1146" s="2" t="s">
        <v>2820</v>
      </c>
      <c r="J1146" t="str">
        <f>IF(Table1[[#This Row],[Resolution_Date]]="NA","Unresolved","Resolved")</f>
        <v>Unresolved</v>
      </c>
      <c r="K1146" t="str">
        <f>IF(Table1[[#This Row],[Resolution_Date]]="NA"," ",Table1[[#This Row],[Resolution_Date]]-Table1[[#This Row],[Complaint_Date]])</f>
        <v xml:space="preserve"> </v>
      </c>
      <c r="L1146" t="str">
        <f>TEXT(Table1[[#This Row],[Complaint_Date]],"MMM")</f>
        <v>Aug</v>
      </c>
      <c r="M1146" t="str">
        <f>IF(Table1[[#This Row],[Resolution_Time_Hours]]&lt;=24,"Fast",IF(Table1[[#This Row],[Resolution_Time_Hours]]&lt;=72,"Medium","Slow"))</f>
        <v>Medium</v>
      </c>
    </row>
    <row r="1147" spans="1:13" x14ac:dyDescent="0.3">
      <c r="A1147" t="s">
        <v>2680</v>
      </c>
      <c r="B1147" t="s">
        <v>2681</v>
      </c>
      <c r="C1147" t="s">
        <v>34</v>
      </c>
      <c r="D1147" t="s">
        <v>95</v>
      </c>
      <c r="E1147" s="2" t="s">
        <v>350</v>
      </c>
      <c r="F1147">
        <v>34</v>
      </c>
      <c r="G1147" t="s">
        <v>20</v>
      </c>
      <c r="H1147" s="2" t="s">
        <v>785</v>
      </c>
      <c r="I1147">
        <v>5</v>
      </c>
      <c r="J1147" t="str">
        <f>IF(Table1[[#This Row],[Resolution_Date]]="NA","Unresolved","Resolved")</f>
        <v>Resolved</v>
      </c>
      <c r="K1147">
        <f>IF(Table1[[#This Row],[Resolution_Date]]="NA"," ",Table1[[#This Row],[Resolution_Date]]-Table1[[#This Row],[Complaint_Date]])</f>
        <v>1</v>
      </c>
      <c r="L1147" t="str">
        <f>TEXT(Table1[[#This Row],[Complaint_Date]],"MMM")</f>
        <v>Nov</v>
      </c>
      <c r="M1147" t="str">
        <f>IF(Table1[[#This Row],[Resolution_Time_Hours]]&lt;=24,"Fast",IF(Table1[[#This Row],[Resolution_Time_Hours]]&lt;=72,"Medium","Slow"))</f>
        <v>Medium</v>
      </c>
    </row>
    <row r="1148" spans="1:13" x14ac:dyDescent="0.3">
      <c r="A1148" t="s">
        <v>2682</v>
      </c>
      <c r="B1148" t="s">
        <v>2683</v>
      </c>
      <c r="C1148" t="s">
        <v>70</v>
      </c>
      <c r="D1148" t="s">
        <v>27</v>
      </c>
      <c r="E1148" s="2" t="s">
        <v>441</v>
      </c>
      <c r="F1148">
        <v>23</v>
      </c>
      <c r="G1148" t="s">
        <v>14</v>
      </c>
      <c r="H1148" s="2" t="s">
        <v>2820</v>
      </c>
      <c r="J1148" t="str">
        <f>IF(Table1[[#This Row],[Resolution_Date]]="NA","Unresolved","Resolved")</f>
        <v>Unresolved</v>
      </c>
      <c r="K1148" t="str">
        <f>IF(Table1[[#This Row],[Resolution_Date]]="NA"," ",Table1[[#This Row],[Resolution_Date]]-Table1[[#This Row],[Complaint_Date]])</f>
        <v xml:space="preserve"> </v>
      </c>
      <c r="L1148" t="str">
        <f>TEXT(Table1[[#This Row],[Complaint_Date]],"MMM")</f>
        <v>Sep</v>
      </c>
      <c r="M1148" t="str">
        <f>IF(Table1[[#This Row],[Resolution_Time_Hours]]&lt;=24,"Fast",IF(Table1[[#This Row],[Resolution_Time_Hours]]&lt;=72,"Medium","Slow"))</f>
        <v>Fast</v>
      </c>
    </row>
    <row r="1149" spans="1:13" x14ac:dyDescent="0.3">
      <c r="A1149" t="s">
        <v>2684</v>
      </c>
      <c r="B1149" t="s">
        <v>2685</v>
      </c>
      <c r="C1149" t="s">
        <v>17</v>
      </c>
      <c r="D1149" t="s">
        <v>95</v>
      </c>
      <c r="E1149" s="2" t="s">
        <v>1501</v>
      </c>
      <c r="F1149">
        <v>7</v>
      </c>
      <c r="G1149" t="s">
        <v>20</v>
      </c>
      <c r="H1149" s="2" t="s">
        <v>1501</v>
      </c>
      <c r="I1149">
        <v>4</v>
      </c>
      <c r="J1149" t="str">
        <f>IF(Table1[[#This Row],[Resolution_Date]]="NA","Unresolved","Resolved")</f>
        <v>Resolved</v>
      </c>
      <c r="K1149">
        <f>IF(Table1[[#This Row],[Resolution_Date]]="NA"," ",Table1[[#This Row],[Resolution_Date]]-Table1[[#This Row],[Complaint_Date]])</f>
        <v>0</v>
      </c>
      <c r="L1149" t="str">
        <f>TEXT(Table1[[#This Row],[Complaint_Date]],"MMM")</f>
        <v>Oct</v>
      </c>
      <c r="M1149" t="str">
        <f>IF(Table1[[#This Row],[Resolution_Time_Hours]]&lt;=24,"Fast",IF(Table1[[#This Row],[Resolution_Time_Hours]]&lt;=72,"Medium","Slow"))</f>
        <v>Fast</v>
      </c>
    </row>
    <row r="1150" spans="1:13" x14ac:dyDescent="0.3">
      <c r="A1150" t="s">
        <v>2686</v>
      </c>
      <c r="B1150" t="s">
        <v>2687</v>
      </c>
      <c r="C1150" t="s">
        <v>48</v>
      </c>
      <c r="D1150" t="s">
        <v>95</v>
      </c>
      <c r="E1150" s="2" t="s">
        <v>1208</v>
      </c>
      <c r="F1150">
        <v>19</v>
      </c>
      <c r="G1150" t="s">
        <v>20</v>
      </c>
      <c r="H1150" s="2" t="s">
        <v>1208</v>
      </c>
      <c r="I1150">
        <v>3</v>
      </c>
      <c r="J1150" t="str">
        <f>IF(Table1[[#This Row],[Resolution_Date]]="NA","Unresolved","Resolved")</f>
        <v>Resolved</v>
      </c>
      <c r="K1150">
        <f>IF(Table1[[#This Row],[Resolution_Date]]="NA"," ",Table1[[#This Row],[Resolution_Date]]-Table1[[#This Row],[Complaint_Date]])</f>
        <v>0</v>
      </c>
      <c r="L1150" t="str">
        <f>TEXT(Table1[[#This Row],[Complaint_Date]],"MMM")</f>
        <v>Jul</v>
      </c>
      <c r="M1150" t="str">
        <f>IF(Table1[[#This Row],[Resolution_Time_Hours]]&lt;=24,"Fast",IF(Table1[[#This Row],[Resolution_Time_Hours]]&lt;=72,"Medium","Slow"))</f>
        <v>Fast</v>
      </c>
    </row>
    <row r="1151" spans="1:13" x14ac:dyDescent="0.3">
      <c r="A1151" t="s">
        <v>2688</v>
      </c>
      <c r="B1151" t="s">
        <v>2689</v>
      </c>
      <c r="C1151" t="s">
        <v>70</v>
      </c>
      <c r="D1151" t="s">
        <v>38</v>
      </c>
      <c r="E1151" s="2" t="s">
        <v>1188</v>
      </c>
      <c r="F1151">
        <v>17</v>
      </c>
      <c r="G1151" t="s">
        <v>20</v>
      </c>
      <c r="H1151" s="2" t="s">
        <v>1188</v>
      </c>
      <c r="I1151">
        <v>5</v>
      </c>
      <c r="J1151" t="str">
        <f>IF(Table1[[#This Row],[Resolution_Date]]="NA","Unresolved","Resolved")</f>
        <v>Resolved</v>
      </c>
      <c r="K1151">
        <f>IF(Table1[[#This Row],[Resolution_Date]]="NA"," ",Table1[[#This Row],[Resolution_Date]]-Table1[[#This Row],[Complaint_Date]])</f>
        <v>0</v>
      </c>
      <c r="L1151" t="str">
        <f>TEXT(Table1[[#This Row],[Complaint_Date]],"MMM")</f>
        <v>May</v>
      </c>
      <c r="M1151" t="str">
        <f>IF(Table1[[#This Row],[Resolution_Time_Hours]]&lt;=24,"Fast",IF(Table1[[#This Row],[Resolution_Time_Hours]]&lt;=72,"Medium","Slow"))</f>
        <v>Fast</v>
      </c>
    </row>
    <row r="1152" spans="1:13" x14ac:dyDescent="0.3">
      <c r="A1152" t="s">
        <v>2690</v>
      </c>
      <c r="B1152" t="s">
        <v>2691</v>
      </c>
      <c r="C1152" t="s">
        <v>48</v>
      </c>
      <c r="D1152" t="s">
        <v>27</v>
      </c>
      <c r="E1152" s="2" t="s">
        <v>127</v>
      </c>
      <c r="F1152">
        <v>61</v>
      </c>
      <c r="G1152" t="s">
        <v>20</v>
      </c>
      <c r="H1152" s="2" t="s">
        <v>366</v>
      </c>
      <c r="I1152">
        <v>5</v>
      </c>
      <c r="J1152" t="str">
        <f>IF(Table1[[#This Row],[Resolution_Date]]="NA","Unresolved","Resolved")</f>
        <v>Resolved</v>
      </c>
      <c r="K1152">
        <f>IF(Table1[[#This Row],[Resolution_Date]]="NA"," ",Table1[[#This Row],[Resolution_Date]]-Table1[[#This Row],[Complaint_Date]])</f>
        <v>2</v>
      </c>
      <c r="L1152" t="str">
        <f>TEXT(Table1[[#This Row],[Complaint_Date]],"MMM")</f>
        <v>Aug</v>
      </c>
      <c r="M1152" t="str">
        <f>IF(Table1[[#This Row],[Resolution_Time_Hours]]&lt;=24,"Fast",IF(Table1[[#This Row],[Resolution_Time_Hours]]&lt;=72,"Medium","Slow"))</f>
        <v>Medium</v>
      </c>
    </row>
    <row r="1153" spans="1:13" x14ac:dyDescent="0.3">
      <c r="A1153" t="s">
        <v>2692</v>
      </c>
      <c r="B1153" t="s">
        <v>2693</v>
      </c>
      <c r="C1153" t="s">
        <v>53</v>
      </c>
      <c r="D1153" t="s">
        <v>27</v>
      </c>
      <c r="E1153" s="2" t="s">
        <v>233</v>
      </c>
      <c r="F1153">
        <v>5</v>
      </c>
      <c r="G1153" t="s">
        <v>20</v>
      </c>
      <c r="H1153" s="2" t="s">
        <v>233</v>
      </c>
      <c r="I1153">
        <v>5</v>
      </c>
      <c r="J1153" t="str">
        <f>IF(Table1[[#This Row],[Resolution_Date]]="NA","Unresolved","Resolved")</f>
        <v>Resolved</v>
      </c>
      <c r="K1153">
        <f>IF(Table1[[#This Row],[Resolution_Date]]="NA"," ",Table1[[#This Row],[Resolution_Date]]-Table1[[#This Row],[Complaint_Date]])</f>
        <v>0</v>
      </c>
      <c r="L1153" t="str">
        <f>TEXT(Table1[[#This Row],[Complaint_Date]],"MMM")</f>
        <v>Apr</v>
      </c>
      <c r="M1153" t="str">
        <f>IF(Table1[[#This Row],[Resolution_Time_Hours]]&lt;=24,"Fast",IF(Table1[[#This Row],[Resolution_Time_Hours]]&lt;=72,"Medium","Slow"))</f>
        <v>Fast</v>
      </c>
    </row>
    <row r="1154" spans="1:13" x14ac:dyDescent="0.3">
      <c r="A1154" t="s">
        <v>2694</v>
      </c>
      <c r="B1154" t="s">
        <v>2695</v>
      </c>
      <c r="C1154" t="s">
        <v>17</v>
      </c>
      <c r="D1154" t="s">
        <v>38</v>
      </c>
      <c r="E1154" s="2" t="s">
        <v>2348</v>
      </c>
      <c r="F1154">
        <v>7</v>
      </c>
      <c r="G1154" t="s">
        <v>20</v>
      </c>
      <c r="H1154" s="2" t="s">
        <v>2348</v>
      </c>
      <c r="I1154">
        <v>4</v>
      </c>
      <c r="J1154" t="str">
        <f>IF(Table1[[#This Row],[Resolution_Date]]="NA","Unresolved","Resolved")</f>
        <v>Resolved</v>
      </c>
      <c r="K1154">
        <f>IF(Table1[[#This Row],[Resolution_Date]]="NA"," ",Table1[[#This Row],[Resolution_Date]]-Table1[[#This Row],[Complaint_Date]])</f>
        <v>0</v>
      </c>
      <c r="L1154" t="str">
        <f>TEXT(Table1[[#This Row],[Complaint_Date]],"MMM")</f>
        <v>May</v>
      </c>
      <c r="M1154" t="str">
        <f>IF(Table1[[#This Row],[Resolution_Time_Hours]]&lt;=24,"Fast",IF(Table1[[#This Row],[Resolution_Time_Hours]]&lt;=72,"Medium","Slow"))</f>
        <v>Fast</v>
      </c>
    </row>
    <row r="1155" spans="1:13" x14ac:dyDescent="0.3">
      <c r="A1155" t="s">
        <v>2696</v>
      </c>
      <c r="B1155" t="s">
        <v>2697</v>
      </c>
      <c r="C1155" t="s">
        <v>53</v>
      </c>
      <c r="D1155" t="s">
        <v>27</v>
      </c>
      <c r="E1155" s="2" t="s">
        <v>1318</v>
      </c>
      <c r="F1155">
        <v>2</v>
      </c>
      <c r="G1155" t="s">
        <v>40</v>
      </c>
      <c r="H1155" s="2" t="s">
        <v>2820</v>
      </c>
      <c r="J1155" t="str">
        <f>IF(Table1[[#This Row],[Resolution_Date]]="NA","Unresolved","Resolved")</f>
        <v>Unresolved</v>
      </c>
      <c r="K1155" t="str">
        <f>IF(Table1[[#This Row],[Resolution_Date]]="NA"," ",Table1[[#This Row],[Resolution_Date]]-Table1[[#This Row],[Complaint_Date]])</f>
        <v xml:space="preserve"> </v>
      </c>
      <c r="L1155" t="str">
        <f>TEXT(Table1[[#This Row],[Complaint_Date]],"MMM")</f>
        <v>Jun</v>
      </c>
      <c r="M1155" t="str">
        <f>IF(Table1[[#This Row],[Resolution_Time_Hours]]&lt;=24,"Fast",IF(Table1[[#This Row],[Resolution_Time_Hours]]&lt;=72,"Medium","Slow"))</f>
        <v>Fast</v>
      </c>
    </row>
    <row r="1156" spans="1:13" x14ac:dyDescent="0.3">
      <c r="A1156" t="s">
        <v>2698</v>
      </c>
      <c r="B1156" t="s">
        <v>2699</v>
      </c>
      <c r="C1156" t="s">
        <v>43</v>
      </c>
      <c r="D1156" t="s">
        <v>27</v>
      </c>
      <c r="E1156" s="2" t="s">
        <v>2348</v>
      </c>
      <c r="F1156">
        <v>29</v>
      </c>
      <c r="G1156" t="s">
        <v>20</v>
      </c>
      <c r="H1156" s="2" t="s">
        <v>1188</v>
      </c>
      <c r="I1156">
        <v>2</v>
      </c>
      <c r="J1156" t="str">
        <f>IF(Table1[[#This Row],[Resolution_Date]]="NA","Unresolved","Resolved")</f>
        <v>Resolved</v>
      </c>
      <c r="K1156">
        <f>IF(Table1[[#This Row],[Resolution_Date]]="NA"," ",Table1[[#This Row],[Resolution_Date]]-Table1[[#This Row],[Complaint_Date]])</f>
        <v>1</v>
      </c>
      <c r="L1156" t="str">
        <f>TEXT(Table1[[#This Row],[Complaint_Date]],"MMM")</f>
        <v>May</v>
      </c>
      <c r="M1156" t="str">
        <f>IF(Table1[[#This Row],[Resolution_Time_Hours]]&lt;=24,"Fast",IF(Table1[[#This Row],[Resolution_Time_Hours]]&lt;=72,"Medium","Slow"))</f>
        <v>Medium</v>
      </c>
    </row>
    <row r="1157" spans="1:13" x14ac:dyDescent="0.3">
      <c r="A1157" t="s">
        <v>2700</v>
      </c>
      <c r="B1157" t="s">
        <v>2701</v>
      </c>
      <c r="C1157" t="s">
        <v>110</v>
      </c>
      <c r="D1157" t="s">
        <v>18</v>
      </c>
      <c r="E1157" s="2" t="s">
        <v>441</v>
      </c>
      <c r="F1157">
        <v>9</v>
      </c>
      <c r="G1157" t="s">
        <v>20</v>
      </c>
      <c r="H1157" s="2" t="s">
        <v>441</v>
      </c>
      <c r="I1157">
        <v>4</v>
      </c>
      <c r="J1157" t="str">
        <f>IF(Table1[[#This Row],[Resolution_Date]]="NA","Unresolved","Resolved")</f>
        <v>Resolved</v>
      </c>
      <c r="K1157">
        <f>IF(Table1[[#This Row],[Resolution_Date]]="NA"," ",Table1[[#This Row],[Resolution_Date]]-Table1[[#This Row],[Complaint_Date]])</f>
        <v>0</v>
      </c>
      <c r="L1157" t="str">
        <f>TEXT(Table1[[#This Row],[Complaint_Date]],"MMM")</f>
        <v>Sep</v>
      </c>
      <c r="M1157" t="str">
        <f>IF(Table1[[#This Row],[Resolution_Time_Hours]]&lt;=24,"Fast",IF(Table1[[#This Row],[Resolution_Time_Hours]]&lt;=72,"Medium","Slow"))</f>
        <v>Fast</v>
      </c>
    </row>
    <row r="1158" spans="1:13" x14ac:dyDescent="0.3">
      <c r="A1158" t="s">
        <v>2702</v>
      </c>
      <c r="B1158" t="s">
        <v>2703</v>
      </c>
      <c r="C1158" t="s">
        <v>11</v>
      </c>
      <c r="D1158" t="s">
        <v>12</v>
      </c>
      <c r="E1158" s="2" t="s">
        <v>622</v>
      </c>
      <c r="F1158">
        <v>11</v>
      </c>
      <c r="G1158" t="s">
        <v>20</v>
      </c>
      <c r="H1158" s="2" t="s">
        <v>622</v>
      </c>
      <c r="I1158">
        <v>4</v>
      </c>
      <c r="J1158" t="str">
        <f>IF(Table1[[#This Row],[Resolution_Date]]="NA","Unresolved","Resolved")</f>
        <v>Resolved</v>
      </c>
      <c r="K1158">
        <f>IF(Table1[[#This Row],[Resolution_Date]]="NA"," ",Table1[[#This Row],[Resolution_Date]]-Table1[[#This Row],[Complaint_Date]])</f>
        <v>0</v>
      </c>
      <c r="L1158" t="str">
        <f>TEXT(Table1[[#This Row],[Complaint_Date]],"MMM")</f>
        <v>Mar</v>
      </c>
      <c r="M1158" t="str">
        <f>IF(Table1[[#This Row],[Resolution_Time_Hours]]&lt;=24,"Fast",IF(Table1[[#This Row],[Resolution_Time_Hours]]&lt;=72,"Medium","Slow"))</f>
        <v>Fast</v>
      </c>
    </row>
    <row r="1159" spans="1:13" x14ac:dyDescent="0.3">
      <c r="A1159" t="s">
        <v>2704</v>
      </c>
      <c r="B1159" t="s">
        <v>2705</v>
      </c>
      <c r="C1159" t="s">
        <v>70</v>
      </c>
      <c r="D1159" t="s">
        <v>38</v>
      </c>
      <c r="E1159" s="2" t="s">
        <v>883</v>
      </c>
      <c r="F1159">
        <v>13</v>
      </c>
      <c r="G1159" t="s">
        <v>20</v>
      </c>
      <c r="H1159" s="2" t="s">
        <v>883</v>
      </c>
      <c r="I1159">
        <v>3</v>
      </c>
      <c r="J1159" t="str">
        <f>IF(Table1[[#This Row],[Resolution_Date]]="NA","Unresolved","Resolved")</f>
        <v>Resolved</v>
      </c>
      <c r="K1159">
        <f>IF(Table1[[#This Row],[Resolution_Date]]="NA"," ",Table1[[#This Row],[Resolution_Date]]-Table1[[#This Row],[Complaint_Date]])</f>
        <v>0</v>
      </c>
      <c r="L1159" t="str">
        <f>TEXT(Table1[[#This Row],[Complaint_Date]],"MMM")</f>
        <v>Jun</v>
      </c>
      <c r="M1159" t="str">
        <f>IF(Table1[[#This Row],[Resolution_Time_Hours]]&lt;=24,"Fast",IF(Table1[[#This Row],[Resolution_Time_Hours]]&lt;=72,"Medium","Slow"))</f>
        <v>Fast</v>
      </c>
    </row>
    <row r="1160" spans="1:13" x14ac:dyDescent="0.3">
      <c r="A1160" t="s">
        <v>2706</v>
      </c>
      <c r="B1160" t="s">
        <v>2707</v>
      </c>
      <c r="C1160" t="s">
        <v>110</v>
      </c>
      <c r="D1160" t="s">
        <v>38</v>
      </c>
      <c r="E1160" s="2" t="s">
        <v>277</v>
      </c>
      <c r="F1160">
        <v>19</v>
      </c>
      <c r="G1160" t="s">
        <v>40</v>
      </c>
      <c r="H1160" s="2" t="s">
        <v>2820</v>
      </c>
      <c r="J1160" t="str">
        <f>IF(Table1[[#This Row],[Resolution_Date]]="NA","Unresolved","Resolved")</f>
        <v>Unresolved</v>
      </c>
      <c r="K1160" t="str">
        <f>IF(Table1[[#This Row],[Resolution_Date]]="NA"," ",Table1[[#This Row],[Resolution_Date]]-Table1[[#This Row],[Complaint_Date]])</f>
        <v xml:space="preserve"> </v>
      </c>
      <c r="L1160" t="str">
        <f>TEXT(Table1[[#This Row],[Complaint_Date]],"MMM")</f>
        <v>Dec</v>
      </c>
      <c r="M1160" t="str">
        <f>IF(Table1[[#This Row],[Resolution_Time_Hours]]&lt;=24,"Fast",IF(Table1[[#This Row],[Resolution_Time_Hours]]&lt;=72,"Medium","Slow"))</f>
        <v>Fast</v>
      </c>
    </row>
    <row r="1161" spans="1:13" x14ac:dyDescent="0.3">
      <c r="A1161" t="s">
        <v>2708</v>
      </c>
      <c r="B1161" t="s">
        <v>2709</v>
      </c>
      <c r="C1161" t="s">
        <v>11</v>
      </c>
      <c r="D1161" t="s">
        <v>38</v>
      </c>
      <c r="E1161" s="2" t="s">
        <v>803</v>
      </c>
      <c r="F1161">
        <v>5</v>
      </c>
      <c r="G1161" t="s">
        <v>14</v>
      </c>
      <c r="H1161" s="2" t="s">
        <v>2820</v>
      </c>
      <c r="J1161" t="str">
        <f>IF(Table1[[#This Row],[Resolution_Date]]="NA","Unresolved","Resolved")</f>
        <v>Unresolved</v>
      </c>
      <c r="K1161" t="str">
        <f>IF(Table1[[#This Row],[Resolution_Date]]="NA"," ",Table1[[#This Row],[Resolution_Date]]-Table1[[#This Row],[Complaint_Date]])</f>
        <v xml:space="preserve"> </v>
      </c>
      <c r="L1161" t="str">
        <f>TEXT(Table1[[#This Row],[Complaint_Date]],"MMM")</f>
        <v>May</v>
      </c>
      <c r="M1161" t="str">
        <f>IF(Table1[[#This Row],[Resolution_Time_Hours]]&lt;=24,"Fast",IF(Table1[[#This Row],[Resolution_Time_Hours]]&lt;=72,"Medium","Slow"))</f>
        <v>Fast</v>
      </c>
    </row>
    <row r="1162" spans="1:13" x14ac:dyDescent="0.3">
      <c r="A1162" t="s">
        <v>2710</v>
      </c>
      <c r="B1162" t="s">
        <v>2711</v>
      </c>
      <c r="C1162" t="s">
        <v>110</v>
      </c>
      <c r="D1162" t="s">
        <v>38</v>
      </c>
      <c r="E1162" s="2" t="s">
        <v>28</v>
      </c>
      <c r="F1162">
        <v>11</v>
      </c>
      <c r="G1162" t="s">
        <v>14</v>
      </c>
      <c r="H1162" s="2" t="s">
        <v>2820</v>
      </c>
      <c r="J1162" t="str">
        <f>IF(Table1[[#This Row],[Resolution_Date]]="NA","Unresolved","Resolved")</f>
        <v>Unresolved</v>
      </c>
      <c r="K1162" t="str">
        <f>IF(Table1[[#This Row],[Resolution_Date]]="NA"," ",Table1[[#This Row],[Resolution_Date]]-Table1[[#This Row],[Complaint_Date]])</f>
        <v xml:space="preserve"> </v>
      </c>
      <c r="L1162" t="str">
        <f>TEXT(Table1[[#This Row],[Complaint_Date]],"MMM")</f>
        <v>May</v>
      </c>
      <c r="M1162" t="str">
        <f>IF(Table1[[#This Row],[Resolution_Time_Hours]]&lt;=24,"Fast",IF(Table1[[#This Row],[Resolution_Time_Hours]]&lt;=72,"Medium","Slow"))</f>
        <v>Fast</v>
      </c>
    </row>
    <row r="1163" spans="1:13" x14ac:dyDescent="0.3">
      <c r="A1163" t="s">
        <v>2712</v>
      </c>
      <c r="B1163" t="s">
        <v>2713</v>
      </c>
      <c r="C1163" t="s">
        <v>43</v>
      </c>
      <c r="D1163" t="s">
        <v>38</v>
      </c>
      <c r="E1163" s="2" t="s">
        <v>293</v>
      </c>
      <c r="F1163">
        <v>67</v>
      </c>
      <c r="G1163" t="s">
        <v>20</v>
      </c>
      <c r="H1163" s="2" t="s">
        <v>1501</v>
      </c>
      <c r="I1163">
        <v>1</v>
      </c>
      <c r="J1163" t="str">
        <f>IF(Table1[[#This Row],[Resolution_Date]]="NA","Unresolved","Resolved")</f>
        <v>Resolved</v>
      </c>
      <c r="K1163">
        <f>IF(Table1[[#This Row],[Resolution_Date]]="NA"," ",Table1[[#This Row],[Resolution_Date]]-Table1[[#This Row],[Complaint_Date]])</f>
        <v>2</v>
      </c>
      <c r="L1163" t="str">
        <f>TEXT(Table1[[#This Row],[Complaint_Date]],"MMM")</f>
        <v>Oct</v>
      </c>
      <c r="M1163" t="str">
        <f>IF(Table1[[#This Row],[Resolution_Time_Hours]]&lt;=24,"Fast",IF(Table1[[#This Row],[Resolution_Time_Hours]]&lt;=72,"Medium","Slow"))</f>
        <v>Medium</v>
      </c>
    </row>
    <row r="1164" spans="1:13" x14ac:dyDescent="0.3">
      <c r="A1164" t="s">
        <v>2714</v>
      </c>
      <c r="B1164" t="s">
        <v>2715</v>
      </c>
      <c r="C1164" t="s">
        <v>110</v>
      </c>
      <c r="D1164" t="s">
        <v>12</v>
      </c>
      <c r="E1164" s="2" t="s">
        <v>398</v>
      </c>
      <c r="F1164">
        <v>7</v>
      </c>
      <c r="G1164" t="s">
        <v>40</v>
      </c>
      <c r="H1164" s="2" t="s">
        <v>2820</v>
      </c>
      <c r="J1164" t="str">
        <f>IF(Table1[[#This Row],[Resolution_Date]]="NA","Unresolved","Resolved")</f>
        <v>Unresolved</v>
      </c>
      <c r="K1164" t="str">
        <f>IF(Table1[[#This Row],[Resolution_Date]]="NA"," ",Table1[[#This Row],[Resolution_Date]]-Table1[[#This Row],[Complaint_Date]])</f>
        <v xml:space="preserve"> </v>
      </c>
      <c r="L1164" t="str">
        <f>TEXT(Table1[[#This Row],[Complaint_Date]],"MMM")</f>
        <v>Oct</v>
      </c>
      <c r="M1164" t="str">
        <f>IF(Table1[[#This Row],[Resolution_Time_Hours]]&lt;=24,"Fast",IF(Table1[[#This Row],[Resolution_Time_Hours]]&lt;=72,"Medium","Slow"))</f>
        <v>Fast</v>
      </c>
    </row>
    <row r="1165" spans="1:13" x14ac:dyDescent="0.3">
      <c r="A1165" t="s">
        <v>2716</v>
      </c>
      <c r="B1165" t="s">
        <v>2717</v>
      </c>
      <c r="C1165" t="s">
        <v>70</v>
      </c>
      <c r="D1165" t="s">
        <v>12</v>
      </c>
      <c r="E1165" s="2" t="s">
        <v>67</v>
      </c>
      <c r="F1165">
        <v>10</v>
      </c>
      <c r="G1165" t="s">
        <v>20</v>
      </c>
      <c r="H1165" s="2" t="s">
        <v>67</v>
      </c>
      <c r="I1165">
        <v>4</v>
      </c>
      <c r="J1165" t="str">
        <f>IF(Table1[[#This Row],[Resolution_Date]]="NA","Unresolved","Resolved")</f>
        <v>Resolved</v>
      </c>
      <c r="K1165">
        <f>IF(Table1[[#This Row],[Resolution_Date]]="NA"," ",Table1[[#This Row],[Resolution_Date]]-Table1[[#This Row],[Complaint_Date]])</f>
        <v>0</v>
      </c>
      <c r="L1165" t="str">
        <f>TEXT(Table1[[#This Row],[Complaint_Date]],"MMM")</f>
        <v>Dec</v>
      </c>
      <c r="M1165" t="str">
        <f>IF(Table1[[#This Row],[Resolution_Time_Hours]]&lt;=24,"Fast",IF(Table1[[#This Row],[Resolution_Time_Hours]]&lt;=72,"Medium","Slow"))</f>
        <v>Fast</v>
      </c>
    </row>
    <row r="1166" spans="1:13" x14ac:dyDescent="0.3">
      <c r="A1166" t="s">
        <v>2718</v>
      </c>
      <c r="B1166" t="s">
        <v>2719</v>
      </c>
      <c r="C1166" t="s">
        <v>48</v>
      </c>
      <c r="D1166" t="s">
        <v>12</v>
      </c>
      <c r="E1166" s="2" t="s">
        <v>538</v>
      </c>
      <c r="F1166">
        <v>27</v>
      </c>
      <c r="G1166" t="s">
        <v>20</v>
      </c>
      <c r="H1166" s="2" t="s">
        <v>1146</v>
      </c>
      <c r="I1166">
        <v>2</v>
      </c>
      <c r="J1166" t="str">
        <f>IF(Table1[[#This Row],[Resolution_Date]]="NA","Unresolved","Resolved")</f>
        <v>Resolved</v>
      </c>
      <c r="K1166">
        <f>IF(Table1[[#This Row],[Resolution_Date]]="NA"," ",Table1[[#This Row],[Resolution_Date]]-Table1[[#This Row],[Complaint_Date]])</f>
        <v>1</v>
      </c>
      <c r="L1166" t="str">
        <f>TEXT(Table1[[#This Row],[Complaint_Date]],"MMM")</f>
        <v>Sep</v>
      </c>
      <c r="M1166" t="str">
        <f>IF(Table1[[#This Row],[Resolution_Time_Hours]]&lt;=24,"Fast",IF(Table1[[#This Row],[Resolution_Time_Hours]]&lt;=72,"Medium","Slow"))</f>
        <v>Medium</v>
      </c>
    </row>
    <row r="1167" spans="1:13" x14ac:dyDescent="0.3">
      <c r="A1167" t="s">
        <v>2720</v>
      </c>
      <c r="B1167" t="s">
        <v>2721</v>
      </c>
      <c r="C1167" t="s">
        <v>53</v>
      </c>
      <c r="D1167" t="s">
        <v>12</v>
      </c>
      <c r="E1167" s="2" t="s">
        <v>60</v>
      </c>
      <c r="F1167">
        <v>5</v>
      </c>
      <c r="G1167" t="s">
        <v>14</v>
      </c>
      <c r="H1167" s="2" t="s">
        <v>2820</v>
      </c>
      <c r="J1167" t="str">
        <f>IF(Table1[[#This Row],[Resolution_Date]]="NA","Unresolved","Resolved")</f>
        <v>Unresolved</v>
      </c>
      <c r="K1167" t="str">
        <f>IF(Table1[[#This Row],[Resolution_Date]]="NA"," ",Table1[[#This Row],[Resolution_Date]]-Table1[[#This Row],[Complaint_Date]])</f>
        <v xml:space="preserve"> </v>
      </c>
      <c r="L1167" t="str">
        <f>TEXT(Table1[[#This Row],[Complaint_Date]],"MMM")</f>
        <v>Sep</v>
      </c>
      <c r="M1167" t="str">
        <f>IF(Table1[[#This Row],[Resolution_Time_Hours]]&lt;=24,"Fast",IF(Table1[[#This Row],[Resolution_Time_Hours]]&lt;=72,"Medium","Slow"))</f>
        <v>Fast</v>
      </c>
    </row>
    <row r="1168" spans="1:13" x14ac:dyDescent="0.3">
      <c r="A1168" t="s">
        <v>2722</v>
      </c>
      <c r="B1168" t="s">
        <v>2723</v>
      </c>
      <c r="C1168" t="s">
        <v>17</v>
      </c>
      <c r="D1168" t="s">
        <v>12</v>
      </c>
      <c r="E1168" s="2" t="s">
        <v>849</v>
      </c>
      <c r="F1168">
        <v>20</v>
      </c>
      <c r="G1168" t="s">
        <v>14</v>
      </c>
      <c r="H1168" s="2" t="s">
        <v>2820</v>
      </c>
      <c r="J1168" t="str">
        <f>IF(Table1[[#This Row],[Resolution_Date]]="NA","Unresolved","Resolved")</f>
        <v>Unresolved</v>
      </c>
      <c r="K1168" t="str">
        <f>IF(Table1[[#This Row],[Resolution_Date]]="NA"," ",Table1[[#This Row],[Resolution_Date]]-Table1[[#This Row],[Complaint_Date]])</f>
        <v xml:space="preserve"> </v>
      </c>
      <c r="L1168" t="str">
        <f>TEXT(Table1[[#This Row],[Complaint_Date]],"MMM")</f>
        <v>Jun</v>
      </c>
      <c r="M1168" t="str">
        <f>IF(Table1[[#This Row],[Resolution_Time_Hours]]&lt;=24,"Fast",IF(Table1[[#This Row],[Resolution_Time_Hours]]&lt;=72,"Medium","Slow"))</f>
        <v>Fast</v>
      </c>
    </row>
    <row r="1169" spans="1:13" x14ac:dyDescent="0.3">
      <c r="A1169" t="s">
        <v>2724</v>
      </c>
      <c r="B1169" t="s">
        <v>2725</v>
      </c>
      <c r="C1169" t="s">
        <v>11</v>
      </c>
      <c r="D1169" t="s">
        <v>38</v>
      </c>
      <c r="E1169" s="2" t="s">
        <v>130</v>
      </c>
      <c r="F1169">
        <v>41</v>
      </c>
      <c r="G1169" t="s">
        <v>20</v>
      </c>
      <c r="H1169" s="2" t="s">
        <v>817</v>
      </c>
      <c r="I1169">
        <v>5</v>
      </c>
      <c r="J1169" t="str">
        <f>IF(Table1[[#This Row],[Resolution_Date]]="NA","Unresolved","Resolved")</f>
        <v>Resolved</v>
      </c>
      <c r="K1169">
        <f>IF(Table1[[#This Row],[Resolution_Date]]="NA"," ",Table1[[#This Row],[Resolution_Date]]-Table1[[#This Row],[Complaint_Date]])</f>
        <v>1</v>
      </c>
      <c r="L1169" t="str">
        <f>TEXT(Table1[[#This Row],[Complaint_Date]],"MMM")</f>
        <v>Feb</v>
      </c>
      <c r="M1169" t="str">
        <f>IF(Table1[[#This Row],[Resolution_Time_Hours]]&lt;=24,"Fast",IF(Table1[[#This Row],[Resolution_Time_Hours]]&lt;=72,"Medium","Slow"))</f>
        <v>Medium</v>
      </c>
    </row>
    <row r="1170" spans="1:13" x14ac:dyDescent="0.3">
      <c r="A1170" t="s">
        <v>2726</v>
      </c>
      <c r="B1170" t="s">
        <v>2727</v>
      </c>
      <c r="C1170" t="s">
        <v>34</v>
      </c>
      <c r="D1170" t="s">
        <v>18</v>
      </c>
      <c r="E1170" s="2" t="s">
        <v>1442</v>
      </c>
      <c r="F1170">
        <v>68</v>
      </c>
      <c r="G1170" t="s">
        <v>20</v>
      </c>
      <c r="H1170" s="2" t="s">
        <v>1881</v>
      </c>
      <c r="I1170">
        <v>1</v>
      </c>
      <c r="J1170" t="str">
        <f>IF(Table1[[#This Row],[Resolution_Date]]="NA","Unresolved","Resolved")</f>
        <v>Resolved</v>
      </c>
      <c r="K1170">
        <f>IF(Table1[[#This Row],[Resolution_Date]]="NA"," ",Table1[[#This Row],[Resolution_Date]]-Table1[[#This Row],[Complaint_Date]])</f>
        <v>2</v>
      </c>
      <c r="L1170" t="str">
        <f>TEXT(Table1[[#This Row],[Complaint_Date]],"MMM")</f>
        <v>Nov</v>
      </c>
      <c r="M1170" t="str">
        <f>IF(Table1[[#This Row],[Resolution_Time_Hours]]&lt;=24,"Fast",IF(Table1[[#This Row],[Resolution_Time_Hours]]&lt;=72,"Medium","Slow"))</f>
        <v>Medium</v>
      </c>
    </row>
    <row r="1171" spans="1:13" x14ac:dyDescent="0.3">
      <c r="A1171" t="s">
        <v>2728</v>
      </c>
      <c r="B1171" t="s">
        <v>2729</v>
      </c>
      <c r="C1171" t="s">
        <v>11</v>
      </c>
      <c r="D1171" t="s">
        <v>38</v>
      </c>
      <c r="E1171" s="2" t="s">
        <v>889</v>
      </c>
      <c r="F1171">
        <v>16</v>
      </c>
      <c r="G1171" t="s">
        <v>20</v>
      </c>
      <c r="H1171" s="2" t="s">
        <v>889</v>
      </c>
      <c r="I1171">
        <v>3</v>
      </c>
      <c r="J1171" t="str">
        <f>IF(Table1[[#This Row],[Resolution_Date]]="NA","Unresolved","Resolved")</f>
        <v>Resolved</v>
      </c>
      <c r="K1171">
        <f>IF(Table1[[#This Row],[Resolution_Date]]="NA"," ",Table1[[#This Row],[Resolution_Date]]-Table1[[#This Row],[Complaint_Date]])</f>
        <v>0</v>
      </c>
      <c r="L1171" t="str">
        <f>TEXT(Table1[[#This Row],[Complaint_Date]],"MMM")</f>
        <v>Dec</v>
      </c>
      <c r="M1171" t="str">
        <f>IF(Table1[[#This Row],[Resolution_Time_Hours]]&lt;=24,"Fast",IF(Table1[[#This Row],[Resolution_Time_Hours]]&lt;=72,"Medium","Slow"))</f>
        <v>Fast</v>
      </c>
    </row>
    <row r="1172" spans="1:13" x14ac:dyDescent="0.3">
      <c r="A1172" t="s">
        <v>2730</v>
      </c>
      <c r="B1172" t="s">
        <v>2731</v>
      </c>
      <c r="C1172" t="s">
        <v>110</v>
      </c>
      <c r="D1172" t="s">
        <v>27</v>
      </c>
      <c r="E1172" s="2" t="s">
        <v>140</v>
      </c>
      <c r="F1172">
        <v>6</v>
      </c>
      <c r="G1172" t="s">
        <v>14</v>
      </c>
      <c r="H1172" s="2" t="s">
        <v>2820</v>
      </c>
      <c r="J1172" t="str">
        <f>IF(Table1[[#This Row],[Resolution_Date]]="NA","Unresolved","Resolved")</f>
        <v>Unresolved</v>
      </c>
      <c r="K1172" t="str">
        <f>IF(Table1[[#This Row],[Resolution_Date]]="NA"," ",Table1[[#This Row],[Resolution_Date]]-Table1[[#This Row],[Complaint_Date]])</f>
        <v xml:space="preserve"> </v>
      </c>
      <c r="L1172" t="str">
        <f>TEXT(Table1[[#This Row],[Complaint_Date]],"MMM")</f>
        <v>Nov</v>
      </c>
      <c r="M1172" t="str">
        <f>IF(Table1[[#This Row],[Resolution_Time_Hours]]&lt;=24,"Fast",IF(Table1[[#This Row],[Resolution_Time_Hours]]&lt;=72,"Medium","Slow"))</f>
        <v>Fast</v>
      </c>
    </row>
    <row r="1173" spans="1:13" x14ac:dyDescent="0.3">
      <c r="A1173" t="s">
        <v>2732</v>
      </c>
      <c r="B1173" t="s">
        <v>2733</v>
      </c>
      <c r="C1173" t="s">
        <v>17</v>
      </c>
      <c r="D1173" t="s">
        <v>18</v>
      </c>
      <c r="E1173" s="2" t="s">
        <v>2348</v>
      </c>
      <c r="F1173">
        <v>23</v>
      </c>
      <c r="G1173" t="s">
        <v>14</v>
      </c>
      <c r="H1173" s="2" t="s">
        <v>2820</v>
      </c>
      <c r="J1173" t="str">
        <f>IF(Table1[[#This Row],[Resolution_Date]]="NA","Unresolved","Resolved")</f>
        <v>Unresolved</v>
      </c>
      <c r="K1173" t="str">
        <f>IF(Table1[[#This Row],[Resolution_Date]]="NA"," ",Table1[[#This Row],[Resolution_Date]]-Table1[[#This Row],[Complaint_Date]])</f>
        <v xml:space="preserve"> </v>
      </c>
      <c r="L1173" t="str">
        <f>TEXT(Table1[[#This Row],[Complaint_Date]],"MMM")</f>
        <v>May</v>
      </c>
      <c r="M1173" t="str">
        <f>IF(Table1[[#This Row],[Resolution_Time_Hours]]&lt;=24,"Fast",IF(Table1[[#This Row],[Resolution_Time_Hours]]&lt;=72,"Medium","Slow"))</f>
        <v>Fast</v>
      </c>
    </row>
    <row r="1174" spans="1:13" x14ac:dyDescent="0.3">
      <c r="A1174" t="s">
        <v>2734</v>
      </c>
      <c r="B1174" t="s">
        <v>2735</v>
      </c>
      <c r="C1174" t="s">
        <v>53</v>
      </c>
      <c r="D1174" t="s">
        <v>27</v>
      </c>
      <c r="E1174" s="2" t="s">
        <v>23</v>
      </c>
      <c r="F1174">
        <v>1</v>
      </c>
      <c r="G1174" t="s">
        <v>20</v>
      </c>
      <c r="H1174" s="2" t="s">
        <v>23</v>
      </c>
      <c r="I1174">
        <v>5</v>
      </c>
      <c r="J1174" t="str">
        <f>IF(Table1[[#This Row],[Resolution_Date]]="NA","Unresolved","Resolved")</f>
        <v>Resolved</v>
      </c>
      <c r="K1174">
        <f>IF(Table1[[#This Row],[Resolution_Date]]="NA"," ",Table1[[#This Row],[Resolution_Date]]-Table1[[#This Row],[Complaint_Date]])</f>
        <v>0</v>
      </c>
      <c r="L1174" t="str">
        <f>TEXT(Table1[[#This Row],[Complaint_Date]],"MMM")</f>
        <v>Sep</v>
      </c>
      <c r="M1174" t="str">
        <f>IF(Table1[[#This Row],[Resolution_Time_Hours]]&lt;=24,"Fast",IF(Table1[[#This Row],[Resolution_Time_Hours]]&lt;=72,"Medium","Slow"))</f>
        <v>Fast</v>
      </c>
    </row>
    <row r="1175" spans="1:13" x14ac:dyDescent="0.3">
      <c r="A1175" t="s">
        <v>2736</v>
      </c>
      <c r="B1175" t="s">
        <v>2737</v>
      </c>
      <c r="C1175" t="s">
        <v>17</v>
      </c>
      <c r="D1175" t="s">
        <v>18</v>
      </c>
      <c r="E1175" s="2" t="s">
        <v>788</v>
      </c>
      <c r="F1175">
        <v>6</v>
      </c>
      <c r="G1175" t="s">
        <v>20</v>
      </c>
      <c r="H1175" s="2" t="s">
        <v>788</v>
      </c>
      <c r="I1175">
        <v>5</v>
      </c>
      <c r="J1175" t="str">
        <f>IF(Table1[[#This Row],[Resolution_Date]]="NA","Unresolved","Resolved")</f>
        <v>Resolved</v>
      </c>
      <c r="K1175">
        <f>IF(Table1[[#This Row],[Resolution_Date]]="NA"," ",Table1[[#This Row],[Resolution_Date]]-Table1[[#This Row],[Complaint_Date]])</f>
        <v>0</v>
      </c>
      <c r="L1175" t="str">
        <f>TEXT(Table1[[#This Row],[Complaint_Date]],"MMM")</f>
        <v>Jan</v>
      </c>
      <c r="M1175" t="str">
        <f>IF(Table1[[#This Row],[Resolution_Time_Hours]]&lt;=24,"Fast",IF(Table1[[#This Row],[Resolution_Time_Hours]]&lt;=72,"Medium","Slow"))</f>
        <v>Fast</v>
      </c>
    </row>
    <row r="1176" spans="1:13" x14ac:dyDescent="0.3">
      <c r="A1176" t="s">
        <v>2738</v>
      </c>
      <c r="B1176" t="s">
        <v>2739</v>
      </c>
      <c r="C1176" t="s">
        <v>11</v>
      </c>
      <c r="D1176" t="s">
        <v>18</v>
      </c>
      <c r="E1176" s="2" t="s">
        <v>137</v>
      </c>
      <c r="F1176">
        <v>18</v>
      </c>
      <c r="G1176" t="s">
        <v>40</v>
      </c>
      <c r="H1176" s="2" t="s">
        <v>2820</v>
      </c>
      <c r="J1176" t="str">
        <f>IF(Table1[[#This Row],[Resolution_Date]]="NA","Unresolved","Resolved")</f>
        <v>Unresolved</v>
      </c>
      <c r="K1176" t="str">
        <f>IF(Table1[[#This Row],[Resolution_Date]]="NA"," ",Table1[[#This Row],[Resolution_Date]]-Table1[[#This Row],[Complaint_Date]])</f>
        <v xml:space="preserve"> </v>
      </c>
      <c r="L1176" t="str">
        <f>TEXT(Table1[[#This Row],[Complaint_Date]],"MMM")</f>
        <v>Mar</v>
      </c>
      <c r="M1176" t="str">
        <f>IF(Table1[[#This Row],[Resolution_Time_Hours]]&lt;=24,"Fast",IF(Table1[[#This Row],[Resolution_Time_Hours]]&lt;=72,"Medium","Slow"))</f>
        <v>Fast</v>
      </c>
    </row>
    <row r="1177" spans="1:13" x14ac:dyDescent="0.3">
      <c r="A1177" t="s">
        <v>2740</v>
      </c>
      <c r="B1177" t="s">
        <v>2741</v>
      </c>
      <c r="C1177" t="s">
        <v>11</v>
      </c>
      <c r="D1177" t="s">
        <v>95</v>
      </c>
      <c r="E1177" s="2" t="s">
        <v>687</v>
      </c>
      <c r="F1177">
        <v>20</v>
      </c>
      <c r="G1177" t="s">
        <v>20</v>
      </c>
      <c r="H1177" s="2" t="s">
        <v>687</v>
      </c>
      <c r="I1177">
        <v>3</v>
      </c>
      <c r="J1177" t="str">
        <f>IF(Table1[[#This Row],[Resolution_Date]]="NA","Unresolved","Resolved")</f>
        <v>Resolved</v>
      </c>
      <c r="K1177">
        <f>IF(Table1[[#This Row],[Resolution_Date]]="NA"," ",Table1[[#This Row],[Resolution_Date]]-Table1[[#This Row],[Complaint_Date]])</f>
        <v>0</v>
      </c>
      <c r="L1177" t="str">
        <f>TEXT(Table1[[#This Row],[Complaint_Date]],"MMM")</f>
        <v>Nov</v>
      </c>
      <c r="M1177" t="str">
        <f>IF(Table1[[#This Row],[Resolution_Time_Hours]]&lt;=24,"Fast",IF(Table1[[#This Row],[Resolution_Time_Hours]]&lt;=72,"Medium","Slow"))</f>
        <v>Fast</v>
      </c>
    </row>
    <row r="1178" spans="1:13" x14ac:dyDescent="0.3">
      <c r="A1178" t="s">
        <v>2742</v>
      </c>
      <c r="B1178" t="s">
        <v>2743</v>
      </c>
      <c r="C1178" t="s">
        <v>11</v>
      </c>
      <c r="D1178" t="s">
        <v>27</v>
      </c>
      <c r="E1178" s="2" t="s">
        <v>892</v>
      </c>
      <c r="F1178">
        <v>6</v>
      </c>
      <c r="G1178" t="s">
        <v>20</v>
      </c>
      <c r="H1178" s="2" t="s">
        <v>892</v>
      </c>
      <c r="I1178">
        <v>5</v>
      </c>
      <c r="J1178" t="str">
        <f>IF(Table1[[#This Row],[Resolution_Date]]="NA","Unresolved","Resolved")</f>
        <v>Resolved</v>
      </c>
      <c r="K1178">
        <f>IF(Table1[[#This Row],[Resolution_Date]]="NA"," ",Table1[[#This Row],[Resolution_Date]]-Table1[[#This Row],[Complaint_Date]])</f>
        <v>0</v>
      </c>
      <c r="L1178" t="str">
        <f>TEXT(Table1[[#This Row],[Complaint_Date]],"MMM")</f>
        <v>Dec</v>
      </c>
      <c r="M1178" t="str">
        <f>IF(Table1[[#This Row],[Resolution_Time_Hours]]&lt;=24,"Fast",IF(Table1[[#This Row],[Resolution_Time_Hours]]&lt;=72,"Medium","Slow"))</f>
        <v>Fast</v>
      </c>
    </row>
    <row r="1179" spans="1:13" x14ac:dyDescent="0.3">
      <c r="A1179" t="s">
        <v>2744</v>
      </c>
      <c r="B1179" t="s">
        <v>2745</v>
      </c>
      <c r="C1179" t="s">
        <v>43</v>
      </c>
      <c r="D1179" t="s">
        <v>18</v>
      </c>
      <c r="E1179" s="2" t="s">
        <v>413</v>
      </c>
      <c r="F1179">
        <v>32</v>
      </c>
      <c r="G1179" t="s">
        <v>20</v>
      </c>
      <c r="H1179" s="2" t="s">
        <v>1479</v>
      </c>
      <c r="I1179">
        <v>2</v>
      </c>
      <c r="J1179" t="str">
        <f>IF(Table1[[#This Row],[Resolution_Date]]="NA","Unresolved","Resolved")</f>
        <v>Resolved</v>
      </c>
      <c r="K1179">
        <f>IF(Table1[[#This Row],[Resolution_Date]]="NA"," ",Table1[[#This Row],[Resolution_Date]]-Table1[[#This Row],[Complaint_Date]])</f>
        <v>1</v>
      </c>
      <c r="L1179" t="str">
        <f>TEXT(Table1[[#This Row],[Complaint_Date]],"MMM")</f>
        <v>Jun</v>
      </c>
      <c r="M1179" t="str">
        <f>IF(Table1[[#This Row],[Resolution_Time_Hours]]&lt;=24,"Fast",IF(Table1[[#This Row],[Resolution_Time_Hours]]&lt;=72,"Medium","Slow"))</f>
        <v>Medium</v>
      </c>
    </row>
    <row r="1180" spans="1:13" x14ac:dyDescent="0.3">
      <c r="A1180" t="s">
        <v>2746</v>
      </c>
      <c r="B1180" t="s">
        <v>2747</v>
      </c>
      <c r="C1180" t="s">
        <v>110</v>
      </c>
      <c r="D1180" t="s">
        <v>27</v>
      </c>
      <c r="E1180" s="2" t="s">
        <v>2508</v>
      </c>
      <c r="F1180">
        <v>14</v>
      </c>
      <c r="G1180" t="s">
        <v>14</v>
      </c>
      <c r="H1180" s="2" t="s">
        <v>2820</v>
      </c>
      <c r="J1180" t="str">
        <f>IF(Table1[[#This Row],[Resolution_Date]]="NA","Unresolved","Resolved")</f>
        <v>Unresolved</v>
      </c>
      <c r="K1180" t="str">
        <f>IF(Table1[[#This Row],[Resolution_Date]]="NA"," ",Table1[[#This Row],[Resolution_Date]]-Table1[[#This Row],[Complaint_Date]])</f>
        <v xml:space="preserve"> </v>
      </c>
      <c r="L1180" t="str">
        <f>TEXT(Table1[[#This Row],[Complaint_Date]],"MMM")</f>
        <v>Sep</v>
      </c>
      <c r="M1180" t="str">
        <f>IF(Table1[[#This Row],[Resolution_Time_Hours]]&lt;=24,"Fast",IF(Table1[[#This Row],[Resolution_Time_Hours]]&lt;=72,"Medium","Slow"))</f>
        <v>Fast</v>
      </c>
    </row>
    <row r="1181" spans="1:13" x14ac:dyDescent="0.3">
      <c r="A1181" t="s">
        <v>2748</v>
      </c>
      <c r="B1181" t="s">
        <v>2749</v>
      </c>
      <c r="C1181" t="s">
        <v>70</v>
      </c>
      <c r="D1181" t="s">
        <v>12</v>
      </c>
      <c r="E1181" s="2" t="s">
        <v>233</v>
      </c>
      <c r="F1181">
        <v>7</v>
      </c>
      <c r="G1181" t="s">
        <v>20</v>
      </c>
      <c r="H1181" s="2" t="s">
        <v>233</v>
      </c>
      <c r="I1181">
        <v>4</v>
      </c>
      <c r="J1181" t="str">
        <f>IF(Table1[[#This Row],[Resolution_Date]]="NA","Unresolved","Resolved")</f>
        <v>Resolved</v>
      </c>
      <c r="K1181">
        <f>IF(Table1[[#This Row],[Resolution_Date]]="NA"," ",Table1[[#This Row],[Resolution_Date]]-Table1[[#This Row],[Complaint_Date]])</f>
        <v>0</v>
      </c>
      <c r="L1181" t="str">
        <f>TEXT(Table1[[#This Row],[Complaint_Date]],"MMM")</f>
        <v>Apr</v>
      </c>
      <c r="M1181" t="str">
        <f>IF(Table1[[#This Row],[Resolution_Time_Hours]]&lt;=24,"Fast",IF(Table1[[#This Row],[Resolution_Time_Hours]]&lt;=72,"Medium","Slow"))</f>
        <v>Fast</v>
      </c>
    </row>
    <row r="1182" spans="1:13" x14ac:dyDescent="0.3">
      <c r="A1182" t="s">
        <v>2750</v>
      </c>
      <c r="B1182" t="s">
        <v>2751</v>
      </c>
      <c r="C1182" t="s">
        <v>48</v>
      </c>
      <c r="D1182" t="s">
        <v>27</v>
      </c>
      <c r="E1182" s="2" t="s">
        <v>277</v>
      </c>
      <c r="F1182">
        <v>45</v>
      </c>
      <c r="G1182" t="s">
        <v>14</v>
      </c>
      <c r="H1182" s="2" t="s">
        <v>2820</v>
      </c>
      <c r="J1182" t="str">
        <f>IF(Table1[[#This Row],[Resolution_Date]]="NA","Unresolved","Resolved")</f>
        <v>Unresolved</v>
      </c>
      <c r="K1182" t="str">
        <f>IF(Table1[[#This Row],[Resolution_Date]]="NA"," ",Table1[[#This Row],[Resolution_Date]]-Table1[[#This Row],[Complaint_Date]])</f>
        <v xml:space="preserve"> </v>
      </c>
      <c r="L1182" t="str">
        <f>TEXT(Table1[[#This Row],[Complaint_Date]],"MMM")</f>
        <v>Dec</v>
      </c>
      <c r="M1182" t="str">
        <f>IF(Table1[[#This Row],[Resolution_Time_Hours]]&lt;=24,"Fast",IF(Table1[[#This Row],[Resolution_Time_Hours]]&lt;=72,"Medium","Slow"))</f>
        <v>Medium</v>
      </c>
    </row>
    <row r="1183" spans="1:13" x14ac:dyDescent="0.3">
      <c r="A1183" t="s">
        <v>2752</v>
      </c>
      <c r="B1183" t="s">
        <v>2753</v>
      </c>
      <c r="C1183" t="s">
        <v>110</v>
      </c>
      <c r="D1183" t="s">
        <v>38</v>
      </c>
      <c r="E1183" s="2" t="s">
        <v>832</v>
      </c>
      <c r="F1183">
        <v>12</v>
      </c>
      <c r="G1183" t="s">
        <v>20</v>
      </c>
      <c r="H1183" s="2" t="s">
        <v>832</v>
      </c>
      <c r="I1183">
        <v>4</v>
      </c>
      <c r="J1183" t="str">
        <f>IF(Table1[[#This Row],[Resolution_Date]]="NA","Unresolved","Resolved")</f>
        <v>Resolved</v>
      </c>
      <c r="K1183">
        <f>IF(Table1[[#This Row],[Resolution_Date]]="NA"," ",Table1[[#This Row],[Resolution_Date]]-Table1[[#This Row],[Complaint_Date]])</f>
        <v>0</v>
      </c>
      <c r="L1183" t="str">
        <f>TEXT(Table1[[#This Row],[Complaint_Date]],"MMM")</f>
        <v>Aug</v>
      </c>
      <c r="M1183" t="str">
        <f>IF(Table1[[#This Row],[Resolution_Time_Hours]]&lt;=24,"Fast",IF(Table1[[#This Row],[Resolution_Time_Hours]]&lt;=72,"Medium","Slow"))</f>
        <v>Fast</v>
      </c>
    </row>
    <row r="1184" spans="1:13" x14ac:dyDescent="0.3">
      <c r="A1184" t="s">
        <v>2754</v>
      </c>
      <c r="B1184" t="s">
        <v>2755</v>
      </c>
      <c r="C1184" t="s">
        <v>70</v>
      </c>
      <c r="D1184" t="s">
        <v>38</v>
      </c>
      <c r="E1184" s="2" t="s">
        <v>452</v>
      </c>
      <c r="F1184">
        <v>7</v>
      </c>
      <c r="G1184" t="s">
        <v>20</v>
      </c>
      <c r="H1184" s="2" t="s">
        <v>452</v>
      </c>
      <c r="I1184">
        <v>4</v>
      </c>
      <c r="J1184" t="str">
        <f>IF(Table1[[#This Row],[Resolution_Date]]="NA","Unresolved","Resolved")</f>
        <v>Resolved</v>
      </c>
      <c r="K1184">
        <f>IF(Table1[[#This Row],[Resolution_Date]]="NA"," ",Table1[[#This Row],[Resolution_Date]]-Table1[[#This Row],[Complaint_Date]])</f>
        <v>0</v>
      </c>
      <c r="L1184" t="str">
        <f>TEXT(Table1[[#This Row],[Complaint_Date]],"MMM")</f>
        <v>Dec</v>
      </c>
      <c r="M1184" t="str">
        <f>IF(Table1[[#This Row],[Resolution_Time_Hours]]&lt;=24,"Fast",IF(Table1[[#This Row],[Resolution_Time_Hours]]&lt;=72,"Medium","Slow"))</f>
        <v>Fast</v>
      </c>
    </row>
    <row r="1185" spans="1:13" x14ac:dyDescent="0.3">
      <c r="A1185" t="s">
        <v>2756</v>
      </c>
      <c r="B1185" t="s">
        <v>2757</v>
      </c>
      <c r="C1185" t="s">
        <v>43</v>
      </c>
      <c r="D1185" t="s">
        <v>38</v>
      </c>
      <c r="E1185" s="2" t="s">
        <v>1457</v>
      </c>
      <c r="F1185">
        <v>33</v>
      </c>
      <c r="G1185" t="s">
        <v>14</v>
      </c>
      <c r="H1185" s="2" t="s">
        <v>2820</v>
      </c>
      <c r="J1185" t="str">
        <f>IF(Table1[[#This Row],[Resolution_Date]]="NA","Unresolved","Resolved")</f>
        <v>Unresolved</v>
      </c>
      <c r="K1185" t="str">
        <f>IF(Table1[[#This Row],[Resolution_Date]]="NA"," ",Table1[[#This Row],[Resolution_Date]]-Table1[[#This Row],[Complaint_Date]])</f>
        <v xml:space="preserve"> </v>
      </c>
      <c r="L1185" t="str">
        <f>TEXT(Table1[[#This Row],[Complaint_Date]],"MMM")</f>
        <v>Feb</v>
      </c>
      <c r="M1185" t="str">
        <f>IF(Table1[[#This Row],[Resolution_Time_Hours]]&lt;=24,"Fast",IF(Table1[[#This Row],[Resolution_Time_Hours]]&lt;=72,"Medium","Slow"))</f>
        <v>Medium</v>
      </c>
    </row>
    <row r="1186" spans="1:13" x14ac:dyDescent="0.3">
      <c r="A1186" t="s">
        <v>2758</v>
      </c>
      <c r="B1186" t="s">
        <v>2759</v>
      </c>
      <c r="C1186" t="s">
        <v>43</v>
      </c>
      <c r="D1186" t="s">
        <v>95</v>
      </c>
      <c r="E1186" s="2" t="s">
        <v>753</v>
      </c>
      <c r="F1186">
        <v>72</v>
      </c>
      <c r="G1186" t="s">
        <v>20</v>
      </c>
      <c r="H1186" s="2" t="s">
        <v>637</v>
      </c>
      <c r="I1186">
        <v>1</v>
      </c>
      <c r="J1186" t="str">
        <f>IF(Table1[[#This Row],[Resolution_Date]]="NA","Unresolved","Resolved")</f>
        <v>Resolved</v>
      </c>
      <c r="K1186">
        <f>IF(Table1[[#This Row],[Resolution_Date]]="NA"," ",Table1[[#This Row],[Resolution_Date]]-Table1[[#This Row],[Complaint_Date]])</f>
        <v>3</v>
      </c>
      <c r="L1186" t="str">
        <f>TEXT(Table1[[#This Row],[Complaint_Date]],"MMM")</f>
        <v>Feb</v>
      </c>
      <c r="M1186" t="str">
        <f>IF(Table1[[#This Row],[Resolution_Time_Hours]]&lt;=24,"Fast",IF(Table1[[#This Row],[Resolution_Time_Hours]]&lt;=72,"Medium","Slow"))</f>
        <v>Medium</v>
      </c>
    </row>
    <row r="1187" spans="1:13" x14ac:dyDescent="0.3">
      <c r="A1187" t="s">
        <v>2760</v>
      </c>
      <c r="B1187" t="s">
        <v>2761</v>
      </c>
      <c r="C1187" t="s">
        <v>48</v>
      </c>
      <c r="D1187" t="s">
        <v>18</v>
      </c>
      <c r="E1187" s="2" t="s">
        <v>511</v>
      </c>
      <c r="F1187">
        <v>50</v>
      </c>
      <c r="G1187" t="s">
        <v>14</v>
      </c>
      <c r="H1187" s="2" t="s">
        <v>2820</v>
      </c>
      <c r="J1187" t="str">
        <f>IF(Table1[[#This Row],[Resolution_Date]]="NA","Unresolved","Resolved")</f>
        <v>Unresolved</v>
      </c>
      <c r="K1187" t="str">
        <f>IF(Table1[[#This Row],[Resolution_Date]]="NA"," ",Table1[[#This Row],[Resolution_Date]]-Table1[[#This Row],[Complaint_Date]])</f>
        <v xml:space="preserve"> </v>
      </c>
      <c r="L1187" t="str">
        <f>TEXT(Table1[[#This Row],[Complaint_Date]],"MMM")</f>
        <v>Jul</v>
      </c>
      <c r="M1187" t="str">
        <f>IF(Table1[[#This Row],[Resolution_Time_Hours]]&lt;=24,"Fast",IF(Table1[[#This Row],[Resolution_Time_Hours]]&lt;=72,"Medium","Slow"))</f>
        <v>Medium</v>
      </c>
    </row>
    <row r="1188" spans="1:13" x14ac:dyDescent="0.3">
      <c r="A1188" t="s">
        <v>2762</v>
      </c>
      <c r="B1188" t="s">
        <v>2763</v>
      </c>
      <c r="C1188" t="s">
        <v>34</v>
      </c>
      <c r="D1188" t="s">
        <v>12</v>
      </c>
      <c r="E1188" s="2" t="s">
        <v>577</v>
      </c>
      <c r="F1188">
        <v>92</v>
      </c>
      <c r="G1188" t="s">
        <v>20</v>
      </c>
      <c r="H1188" s="2" t="s">
        <v>147</v>
      </c>
      <c r="I1188">
        <v>1</v>
      </c>
      <c r="J1188" t="str">
        <f>IF(Table1[[#This Row],[Resolution_Date]]="NA","Unresolved","Resolved")</f>
        <v>Resolved</v>
      </c>
      <c r="K1188">
        <f>IF(Table1[[#This Row],[Resolution_Date]]="NA"," ",Table1[[#This Row],[Resolution_Date]]-Table1[[#This Row],[Complaint_Date]])</f>
        <v>3</v>
      </c>
      <c r="L1188" t="str">
        <f>TEXT(Table1[[#This Row],[Complaint_Date]],"MMM")</f>
        <v>Aug</v>
      </c>
      <c r="M1188" t="str">
        <f>IF(Table1[[#This Row],[Resolution_Time_Hours]]&lt;=24,"Fast",IF(Table1[[#This Row],[Resolution_Time_Hours]]&lt;=72,"Medium","Slow"))</f>
        <v>Slow</v>
      </c>
    </row>
    <row r="1189" spans="1:13" x14ac:dyDescent="0.3">
      <c r="A1189" t="s">
        <v>2764</v>
      </c>
      <c r="B1189" t="s">
        <v>2765</v>
      </c>
      <c r="C1189" t="s">
        <v>110</v>
      </c>
      <c r="D1189" t="s">
        <v>95</v>
      </c>
      <c r="E1189" s="2" t="s">
        <v>1576</v>
      </c>
      <c r="F1189">
        <v>4</v>
      </c>
      <c r="G1189" t="s">
        <v>20</v>
      </c>
      <c r="H1189" s="2" t="s">
        <v>1576</v>
      </c>
      <c r="I1189">
        <v>5</v>
      </c>
      <c r="J1189" t="str">
        <f>IF(Table1[[#This Row],[Resolution_Date]]="NA","Unresolved","Resolved")</f>
        <v>Resolved</v>
      </c>
      <c r="K1189">
        <f>IF(Table1[[#This Row],[Resolution_Date]]="NA"," ",Table1[[#This Row],[Resolution_Date]]-Table1[[#This Row],[Complaint_Date]])</f>
        <v>0</v>
      </c>
      <c r="L1189" t="str">
        <f>TEXT(Table1[[#This Row],[Complaint_Date]],"MMM")</f>
        <v>Mar</v>
      </c>
      <c r="M1189" t="str">
        <f>IF(Table1[[#This Row],[Resolution_Time_Hours]]&lt;=24,"Fast",IF(Table1[[#This Row],[Resolution_Time_Hours]]&lt;=72,"Medium","Slow"))</f>
        <v>Fast</v>
      </c>
    </row>
    <row r="1190" spans="1:13" x14ac:dyDescent="0.3">
      <c r="A1190" t="s">
        <v>2766</v>
      </c>
      <c r="B1190" t="s">
        <v>2767</v>
      </c>
      <c r="C1190" t="s">
        <v>70</v>
      </c>
      <c r="D1190" t="s">
        <v>27</v>
      </c>
      <c r="E1190" s="2" t="s">
        <v>244</v>
      </c>
      <c r="F1190">
        <v>22</v>
      </c>
      <c r="G1190" t="s">
        <v>20</v>
      </c>
      <c r="H1190" s="2" t="s">
        <v>244</v>
      </c>
      <c r="I1190">
        <v>5</v>
      </c>
      <c r="J1190" t="str">
        <f>IF(Table1[[#This Row],[Resolution_Date]]="NA","Unresolved","Resolved")</f>
        <v>Resolved</v>
      </c>
      <c r="K1190">
        <f>IF(Table1[[#This Row],[Resolution_Date]]="NA"," ",Table1[[#This Row],[Resolution_Date]]-Table1[[#This Row],[Complaint_Date]])</f>
        <v>0</v>
      </c>
      <c r="L1190" t="str">
        <f>TEXT(Table1[[#This Row],[Complaint_Date]],"MMM")</f>
        <v>May</v>
      </c>
      <c r="M1190" t="str">
        <f>IF(Table1[[#This Row],[Resolution_Time_Hours]]&lt;=24,"Fast",IF(Table1[[#This Row],[Resolution_Time_Hours]]&lt;=72,"Medium","Slow"))</f>
        <v>Fast</v>
      </c>
    </row>
    <row r="1191" spans="1:13" x14ac:dyDescent="0.3">
      <c r="A1191" t="s">
        <v>2768</v>
      </c>
      <c r="B1191" t="s">
        <v>2769</v>
      </c>
      <c r="C1191" t="s">
        <v>110</v>
      </c>
      <c r="D1191" t="s">
        <v>18</v>
      </c>
      <c r="E1191" s="2" t="s">
        <v>1208</v>
      </c>
      <c r="F1191">
        <v>18</v>
      </c>
      <c r="G1191" t="s">
        <v>20</v>
      </c>
      <c r="H1191" s="2" t="s">
        <v>1208</v>
      </c>
      <c r="I1191">
        <v>3</v>
      </c>
      <c r="J1191" t="str">
        <f>IF(Table1[[#This Row],[Resolution_Date]]="NA","Unresolved","Resolved")</f>
        <v>Resolved</v>
      </c>
      <c r="K1191">
        <f>IF(Table1[[#This Row],[Resolution_Date]]="NA"," ",Table1[[#This Row],[Resolution_Date]]-Table1[[#This Row],[Complaint_Date]])</f>
        <v>0</v>
      </c>
      <c r="L1191" t="str">
        <f>TEXT(Table1[[#This Row],[Complaint_Date]],"MMM")</f>
        <v>Jul</v>
      </c>
      <c r="M1191" t="str">
        <f>IF(Table1[[#This Row],[Resolution_Time_Hours]]&lt;=24,"Fast",IF(Table1[[#This Row],[Resolution_Time_Hours]]&lt;=72,"Medium","Slow"))</f>
        <v>Fast</v>
      </c>
    </row>
    <row r="1192" spans="1:13" x14ac:dyDescent="0.3">
      <c r="A1192" t="s">
        <v>2770</v>
      </c>
      <c r="B1192" t="s">
        <v>2771</v>
      </c>
      <c r="C1192" t="s">
        <v>53</v>
      </c>
      <c r="D1192" t="s">
        <v>38</v>
      </c>
      <c r="E1192" s="2" t="s">
        <v>79</v>
      </c>
      <c r="F1192">
        <v>8</v>
      </c>
      <c r="G1192" t="s">
        <v>20</v>
      </c>
      <c r="H1192" s="2" t="s">
        <v>79</v>
      </c>
      <c r="I1192">
        <v>5</v>
      </c>
      <c r="J1192" t="str">
        <f>IF(Table1[[#This Row],[Resolution_Date]]="NA","Unresolved","Resolved")</f>
        <v>Resolved</v>
      </c>
      <c r="K1192">
        <f>IF(Table1[[#This Row],[Resolution_Date]]="NA"," ",Table1[[#This Row],[Resolution_Date]]-Table1[[#This Row],[Complaint_Date]])</f>
        <v>0</v>
      </c>
      <c r="L1192" t="str">
        <f>TEXT(Table1[[#This Row],[Complaint_Date]],"MMM")</f>
        <v>Jun</v>
      </c>
      <c r="M1192" t="str">
        <f>IF(Table1[[#This Row],[Resolution_Time_Hours]]&lt;=24,"Fast",IF(Table1[[#This Row],[Resolution_Time_Hours]]&lt;=72,"Medium","Slow"))</f>
        <v>Fast</v>
      </c>
    </row>
    <row r="1193" spans="1:13" x14ac:dyDescent="0.3">
      <c r="A1193" t="s">
        <v>2772</v>
      </c>
      <c r="B1193" t="s">
        <v>2773</v>
      </c>
      <c r="C1193" t="s">
        <v>34</v>
      </c>
      <c r="D1193" t="s">
        <v>12</v>
      </c>
      <c r="E1193" s="2" t="s">
        <v>1576</v>
      </c>
      <c r="F1193">
        <v>50</v>
      </c>
      <c r="G1193" t="s">
        <v>20</v>
      </c>
      <c r="H1193" s="2" t="s">
        <v>555</v>
      </c>
      <c r="I1193">
        <v>1</v>
      </c>
      <c r="J1193" t="str">
        <f>IF(Table1[[#This Row],[Resolution_Date]]="NA","Unresolved","Resolved")</f>
        <v>Resolved</v>
      </c>
      <c r="K1193">
        <f>IF(Table1[[#This Row],[Resolution_Date]]="NA"," ",Table1[[#This Row],[Resolution_Date]]-Table1[[#This Row],[Complaint_Date]])</f>
        <v>2</v>
      </c>
      <c r="L1193" t="str">
        <f>TEXT(Table1[[#This Row],[Complaint_Date]],"MMM")</f>
        <v>Mar</v>
      </c>
      <c r="M1193" t="str">
        <f>IF(Table1[[#This Row],[Resolution_Time_Hours]]&lt;=24,"Fast",IF(Table1[[#This Row],[Resolution_Time_Hours]]&lt;=72,"Medium","Slow"))</f>
        <v>Medium</v>
      </c>
    </row>
    <row r="1194" spans="1:13" x14ac:dyDescent="0.3">
      <c r="A1194" t="s">
        <v>2774</v>
      </c>
      <c r="B1194" t="s">
        <v>2775</v>
      </c>
      <c r="C1194" t="s">
        <v>43</v>
      </c>
      <c r="D1194" t="s">
        <v>38</v>
      </c>
      <c r="E1194" s="2" t="s">
        <v>492</v>
      </c>
      <c r="F1194">
        <v>21</v>
      </c>
      <c r="G1194" t="s">
        <v>20</v>
      </c>
      <c r="H1194" s="2" t="s">
        <v>492</v>
      </c>
      <c r="I1194">
        <v>3</v>
      </c>
      <c r="J1194" t="str">
        <f>IF(Table1[[#This Row],[Resolution_Date]]="NA","Unresolved","Resolved")</f>
        <v>Resolved</v>
      </c>
      <c r="K1194">
        <f>IF(Table1[[#This Row],[Resolution_Date]]="NA"," ",Table1[[#This Row],[Resolution_Date]]-Table1[[#This Row],[Complaint_Date]])</f>
        <v>0</v>
      </c>
      <c r="L1194" t="str">
        <f>TEXT(Table1[[#This Row],[Complaint_Date]],"MMM")</f>
        <v>Oct</v>
      </c>
      <c r="M1194" t="str">
        <f>IF(Table1[[#This Row],[Resolution_Time_Hours]]&lt;=24,"Fast",IF(Table1[[#This Row],[Resolution_Time_Hours]]&lt;=72,"Medium","Slow"))</f>
        <v>Fast</v>
      </c>
    </row>
    <row r="1195" spans="1:13" x14ac:dyDescent="0.3">
      <c r="A1195" t="s">
        <v>2776</v>
      </c>
      <c r="B1195" t="s">
        <v>2777</v>
      </c>
      <c r="C1195" t="s">
        <v>70</v>
      </c>
      <c r="D1195" t="s">
        <v>27</v>
      </c>
      <c r="E1195" s="2" t="s">
        <v>137</v>
      </c>
      <c r="F1195">
        <v>16</v>
      </c>
      <c r="G1195" t="s">
        <v>20</v>
      </c>
      <c r="H1195" s="2" t="s">
        <v>137</v>
      </c>
      <c r="I1195">
        <v>3</v>
      </c>
      <c r="J1195" t="str">
        <f>IF(Table1[[#This Row],[Resolution_Date]]="NA","Unresolved","Resolved")</f>
        <v>Resolved</v>
      </c>
      <c r="K1195">
        <f>IF(Table1[[#This Row],[Resolution_Date]]="NA"," ",Table1[[#This Row],[Resolution_Date]]-Table1[[#This Row],[Complaint_Date]])</f>
        <v>0</v>
      </c>
      <c r="L1195" t="str">
        <f>TEXT(Table1[[#This Row],[Complaint_Date]],"MMM")</f>
        <v>Mar</v>
      </c>
      <c r="M1195" t="str">
        <f>IF(Table1[[#This Row],[Resolution_Time_Hours]]&lt;=24,"Fast",IF(Table1[[#This Row],[Resolution_Time_Hours]]&lt;=72,"Medium","Slow"))</f>
        <v>Fast</v>
      </c>
    </row>
    <row r="1196" spans="1:13" x14ac:dyDescent="0.3">
      <c r="A1196" t="s">
        <v>2778</v>
      </c>
      <c r="B1196" t="s">
        <v>2779</v>
      </c>
      <c r="C1196" t="s">
        <v>17</v>
      </c>
      <c r="D1196" t="s">
        <v>95</v>
      </c>
      <c r="E1196" s="2" t="s">
        <v>823</v>
      </c>
      <c r="F1196">
        <v>18</v>
      </c>
      <c r="G1196" t="s">
        <v>40</v>
      </c>
      <c r="H1196" s="2" t="s">
        <v>2820</v>
      </c>
      <c r="J1196" t="str">
        <f>IF(Table1[[#This Row],[Resolution_Date]]="NA","Unresolved","Resolved")</f>
        <v>Unresolved</v>
      </c>
      <c r="K1196" t="str">
        <f>IF(Table1[[#This Row],[Resolution_Date]]="NA"," ",Table1[[#This Row],[Resolution_Date]]-Table1[[#This Row],[Complaint_Date]])</f>
        <v xml:space="preserve"> </v>
      </c>
      <c r="L1196" t="str">
        <f>TEXT(Table1[[#This Row],[Complaint_Date]],"MMM")</f>
        <v>May</v>
      </c>
      <c r="M1196" t="str">
        <f>IF(Table1[[#This Row],[Resolution_Time_Hours]]&lt;=24,"Fast",IF(Table1[[#This Row],[Resolution_Time_Hours]]&lt;=72,"Medium","Slow"))</f>
        <v>Fast</v>
      </c>
    </row>
    <row r="1197" spans="1:13" x14ac:dyDescent="0.3">
      <c r="A1197" t="s">
        <v>2780</v>
      </c>
      <c r="B1197" t="s">
        <v>2781</v>
      </c>
      <c r="C1197" t="s">
        <v>48</v>
      </c>
      <c r="D1197" t="s">
        <v>18</v>
      </c>
      <c r="E1197" s="2" t="s">
        <v>380</v>
      </c>
      <c r="F1197">
        <v>22</v>
      </c>
      <c r="G1197" t="s">
        <v>20</v>
      </c>
      <c r="H1197" s="2" t="s">
        <v>380</v>
      </c>
      <c r="I1197">
        <v>5</v>
      </c>
      <c r="J1197" t="str">
        <f>IF(Table1[[#This Row],[Resolution_Date]]="NA","Unresolved","Resolved")</f>
        <v>Resolved</v>
      </c>
      <c r="K1197">
        <f>IF(Table1[[#This Row],[Resolution_Date]]="NA"," ",Table1[[#This Row],[Resolution_Date]]-Table1[[#This Row],[Complaint_Date]])</f>
        <v>0</v>
      </c>
      <c r="L1197" t="str">
        <f>TEXT(Table1[[#This Row],[Complaint_Date]],"MMM")</f>
        <v>Apr</v>
      </c>
      <c r="M1197" t="str">
        <f>IF(Table1[[#This Row],[Resolution_Time_Hours]]&lt;=24,"Fast",IF(Table1[[#This Row],[Resolution_Time_Hours]]&lt;=72,"Medium","Slow"))</f>
        <v>Fast</v>
      </c>
    </row>
    <row r="1198" spans="1:13" x14ac:dyDescent="0.3">
      <c r="A1198" t="s">
        <v>2782</v>
      </c>
      <c r="B1198" t="s">
        <v>2783</v>
      </c>
      <c r="C1198" t="s">
        <v>70</v>
      </c>
      <c r="D1198" t="s">
        <v>27</v>
      </c>
      <c r="E1198" s="2" t="s">
        <v>511</v>
      </c>
      <c r="F1198">
        <v>3</v>
      </c>
      <c r="G1198" t="s">
        <v>14</v>
      </c>
      <c r="H1198" s="2" t="s">
        <v>2820</v>
      </c>
      <c r="J1198" t="str">
        <f>IF(Table1[[#This Row],[Resolution_Date]]="NA","Unresolved","Resolved")</f>
        <v>Unresolved</v>
      </c>
      <c r="K1198" t="str">
        <f>IF(Table1[[#This Row],[Resolution_Date]]="NA"," ",Table1[[#This Row],[Resolution_Date]]-Table1[[#This Row],[Complaint_Date]])</f>
        <v xml:space="preserve"> </v>
      </c>
      <c r="L1198" t="str">
        <f>TEXT(Table1[[#This Row],[Complaint_Date]],"MMM")</f>
        <v>Jul</v>
      </c>
      <c r="M1198" t="str">
        <f>IF(Table1[[#This Row],[Resolution_Time_Hours]]&lt;=24,"Fast",IF(Table1[[#This Row],[Resolution_Time_Hours]]&lt;=72,"Medium","Slow"))</f>
        <v>Fast</v>
      </c>
    </row>
    <row r="1199" spans="1:13" x14ac:dyDescent="0.3">
      <c r="A1199" t="s">
        <v>2784</v>
      </c>
      <c r="B1199" t="s">
        <v>2785</v>
      </c>
      <c r="C1199" t="s">
        <v>53</v>
      </c>
      <c r="D1199" t="s">
        <v>27</v>
      </c>
      <c r="E1199" s="2" t="s">
        <v>747</v>
      </c>
      <c r="F1199">
        <v>12</v>
      </c>
      <c r="G1199" t="s">
        <v>20</v>
      </c>
      <c r="H1199" s="2" t="s">
        <v>747</v>
      </c>
      <c r="I1199">
        <v>4</v>
      </c>
      <c r="J1199" t="str">
        <f>IF(Table1[[#This Row],[Resolution_Date]]="NA","Unresolved","Resolved")</f>
        <v>Resolved</v>
      </c>
      <c r="K1199">
        <f>IF(Table1[[#This Row],[Resolution_Date]]="NA"," ",Table1[[#This Row],[Resolution_Date]]-Table1[[#This Row],[Complaint_Date]])</f>
        <v>0</v>
      </c>
      <c r="L1199" t="str">
        <f>TEXT(Table1[[#This Row],[Complaint_Date]],"MMM")</f>
        <v>Aug</v>
      </c>
      <c r="M1199" t="str">
        <f>IF(Table1[[#This Row],[Resolution_Time_Hours]]&lt;=24,"Fast",IF(Table1[[#This Row],[Resolution_Time_Hours]]&lt;=72,"Medium","Slow"))</f>
        <v>Fast</v>
      </c>
    </row>
    <row r="1200" spans="1:13" x14ac:dyDescent="0.3">
      <c r="A1200" t="s">
        <v>2786</v>
      </c>
      <c r="B1200" t="s">
        <v>2787</v>
      </c>
      <c r="C1200" t="s">
        <v>70</v>
      </c>
      <c r="D1200" t="s">
        <v>38</v>
      </c>
      <c r="E1200" s="2" t="s">
        <v>23</v>
      </c>
      <c r="F1200">
        <v>17</v>
      </c>
      <c r="G1200" t="s">
        <v>14</v>
      </c>
      <c r="H1200" s="2" t="s">
        <v>2820</v>
      </c>
      <c r="J1200" t="str">
        <f>IF(Table1[[#This Row],[Resolution_Date]]="NA","Unresolved","Resolved")</f>
        <v>Unresolved</v>
      </c>
      <c r="K1200" t="str">
        <f>IF(Table1[[#This Row],[Resolution_Date]]="NA"," ",Table1[[#This Row],[Resolution_Date]]-Table1[[#This Row],[Complaint_Date]])</f>
        <v xml:space="preserve"> </v>
      </c>
      <c r="L1200" t="str">
        <f>TEXT(Table1[[#This Row],[Complaint_Date]],"MMM")</f>
        <v>Sep</v>
      </c>
      <c r="M1200" t="str">
        <f>IF(Table1[[#This Row],[Resolution_Time_Hours]]&lt;=24,"Fast",IF(Table1[[#This Row],[Resolution_Time_Hours]]&lt;=72,"Medium","Slow"))</f>
        <v>Fast</v>
      </c>
    </row>
    <row r="1201" spans="1:13" x14ac:dyDescent="0.3">
      <c r="A1201" t="s">
        <v>2788</v>
      </c>
      <c r="B1201" t="s">
        <v>2789</v>
      </c>
      <c r="C1201" t="s">
        <v>43</v>
      </c>
      <c r="D1201" t="s">
        <v>27</v>
      </c>
      <c r="E1201" s="2" t="s">
        <v>386</v>
      </c>
      <c r="F1201">
        <v>23</v>
      </c>
      <c r="G1201" t="s">
        <v>20</v>
      </c>
      <c r="H1201" s="2" t="s">
        <v>386</v>
      </c>
      <c r="I1201">
        <v>3</v>
      </c>
      <c r="J1201" t="str">
        <f>IF(Table1[[#This Row],[Resolution_Date]]="NA","Unresolved","Resolved")</f>
        <v>Resolved</v>
      </c>
      <c r="K1201">
        <f>IF(Table1[[#This Row],[Resolution_Date]]="NA"," ",Table1[[#This Row],[Resolution_Date]]-Table1[[#This Row],[Complaint_Date]])</f>
        <v>0</v>
      </c>
      <c r="L1201" t="str">
        <f>TEXT(Table1[[#This Row],[Complaint_Date]],"MMM")</f>
        <v>Jul</v>
      </c>
      <c r="M1201" t="str">
        <f>IF(Table1[[#This Row],[Resolution_Time_Hours]]&lt;=24,"Fast",IF(Table1[[#This Row],[Resolution_Time_Hours]]&lt;=72,"Medium","Slow"))</f>
        <v>Fast</v>
      </c>
    </row>
  </sheetData>
  <conditionalFormatting sqref="A2:A1201">
    <cfRule type="duplicateValues" dxfId="1" priority="2"/>
  </conditionalFormatting>
  <conditionalFormatting sqref="B18:B1201">
    <cfRule type="duplicateValues" dxfId="0"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Complaints_Data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achu skillmount</cp:lastModifiedBy>
  <cp:revision/>
  <dcterms:created xsi:type="dcterms:W3CDTF">2026-03-05T08:00:19Z</dcterms:created>
  <dcterms:modified xsi:type="dcterms:W3CDTF">2026-07-16T10:23:16Z</dcterms:modified>
  <cp:category/>
  <cp:contentStatus/>
</cp:coreProperties>
</file>